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james\Desktop\"/>
    </mc:Choice>
  </mc:AlternateContent>
  <xr:revisionPtr revIDLastSave="0" documentId="13_ncr:1_{B594F9FA-5C7A-4DE2-9C06-800219E03A5D}" xr6:coauthVersionLast="46" xr6:coauthVersionMax="46" xr10:uidLastSave="{00000000-0000-0000-0000-000000000000}"/>
  <bookViews>
    <workbookView xWindow="-120" yWindow="-120" windowWidth="29040" windowHeight="15840" activeTab="7" xr2:uid="{00000000-000D-0000-FFFF-FFFF00000000}"/>
  </bookViews>
  <sheets>
    <sheet name="Final" sheetId="1" r:id="rId1"/>
    <sheet name="Technical" sheetId="11" r:id="rId2"/>
    <sheet name="User Acceptance" sheetId="12" r:id="rId3"/>
    <sheet name="Interactivity" sheetId="13" r:id="rId4"/>
    <sheet name="Feedback" sheetId="16" r:id="rId5"/>
    <sheet name="Appeal" sheetId="15" r:id="rId6"/>
    <sheet name="TCR" sheetId="17" r:id="rId7"/>
    <sheet name="TCR Guidelines" sheetId="19" r:id="rId8"/>
    <sheet name="TCR Values" sheetId="18"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6" i="1" l="1"/>
  <c r="K28" i="1"/>
  <c r="E34" i="1"/>
  <c r="K27" i="1" s="1"/>
  <c r="F49" i="17"/>
  <c r="F50" i="17" s="1"/>
  <c r="H47" i="17"/>
  <c r="E47" i="17" s="1"/>
  <c r="H46" i="17"/>
  <c r="E46" i="17" s="1"/>
  <c r="H18" i="17"/>
  <c r="H38" i="17"/>
  <c r="H37" i="17"/>
  <c r="H36" i="17"/>
  <c r="H35" i="17"/>
  <c r="H34" i="17"/>
  <c r="H33" i="17"/>
  <c r="H41" i="17"/>
  <c r="H40" i="17"/>
  <c r="H39" i="17"/>
  <c r="F8" i="15" a="1"/>
  <c r="E9" i="12" a="1"/>
  <c r="F8" i="13" a="1"/>
  <c r="E10" i="16" a="1"/>
  <c r="E8" i="13" a="1"/>
  <c r="E8" i="15" a="1"/>
  <c r="F9" i="11" a="1"/>
  <c r="F10" i="16" a="1"/>
  <c r="E9" i="11" a="1"/>
  <c r="F9" i="12" a="1"/>
  <c r="F10" i="16" l="1"/>
  <c r="K24" i="1" s="1"/>
  <c r="E10" i="16"/>
  <c r="H24" i="1" s="1"/>
  <c r="F9" i="12"/>
  <c r="E9" i="12"/>
  <c r="H22" i="1" s="1"/>
  <c r="F9" i="11"/>
  <c r="E9" i="11"/>
  <c r="H21" i="1" s="1"/>
  <c r="F8" i="13"/>
  <c r="E8" i="13"/>
  <c r="H23" i="1" s="1"/>
  <c r="F8" i="15"/>
  <c r="E8" i="15"/>
  <c r="H25" i="1" s="1"/>
  <c r="H32" i="17"/>
  <c r="H43" i="17"/>
  <c r="H42" i="17"/>
  <c r="H44" i="17"/>
  <c r="H45" i="17"/>
  <c r="H48" i="17"/>
  <c r="H6" i="17"/>
  <c r="H7" i="17"/>
  <c r="H8" i="17"/>
  <c r="H9" i="17"/>
  <c r="H10" i="17"/>
  <c r="H11" i="17"/>
  <c r="H12" i="17"/>
  <c r="H13" i="17"/>
  <c r="H14" i="17"/>
  <c r="H15" i="17"/>
  <c r="H16" i="17"/>
  <c r="H17" i="17"/>
  <c r="H19" i="17"/>
  <c r="H20" i="17"/>
  <c r="H21" i="17"/>
  <c r="H22" i="17"/>
  <c r="H23" i="17"/>
  <c r="H24" i="17"/>
  <c r="H25" i="17"/>
  <c r="H26" i="17"/>
  <c r="H27" i="17"/>
  <c r="H28" i="17"/>
  <c r="H29" i="17"/>
  <c r="H30" i="17"/>
  <c r="H31" i="17"/>
  <c r="H5" i="17"/>
  <c r="J19" i="1" a="1"/>
  <c r="J19" i="1" l="1"/>
  <c r="E25" i="17"/>
  <c r="E26" i="17"/>
  <c r="E45" i="17"/>
  <c r="E48" i="17"/>
  <c r="E45" i="1" l="1"/>
  <c r="H28" i="1" s="1"/>
  <c r="E49" i="17" l="1"/>
  <c r="E50" i="17" s="1"/>
  <c r="H26" i="1" s="1"/>
  <c r="G19" i="1" a="1"/>
  <c r="G19" i="1" l="1"/>
  <c r="E25" i="1"/>
  <c r="H2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<sst xmlns="http://schemas.openxmlformats.org/spreadsheetml/2006/main" count="416" uniqueCount="185">
  <si>
    <t>Grade</t>
  </si>
  <si>
    <t>Total</t>
  </si>
  <si>
    <t>TEAM NAME</t>
  </si>
  <si>
    <t>TEAM ROSTER</t>
  </si>
  <si>
    <t>Degree</t>
  </si>
  <si>
    <t>Team Member</t>
  </si>
  <si>
    <t>DigiPen E-mail</t>
  </si>
  <si>
    <t>Description</t>
  </si>
  <si>
    <t>Point Details</t>
  </si>
  <si>
    <t>Score</t>
  </si>
  <si>
    <t>Technical</t>
  </si>
  <si>
    <t>Comments</t>
  </si>
  <si>
    <t>Interactivity</t>
  </si>
  <si>
    <t>Appeal / Content</t>
  </si>
  <si>
    <t>Additional Modifiers</t>
  </si>
  <si>
    <t>Late submission (-5%/day).</t>
  </si>
  <si>
    <t>Resubmission after the due date (-5%/instance).</t>
  </si>
  <si>
    <t>TCRs</t>
  </si>
  <si>
    <t>Bonuses</t>
  </si>
  <si>
    <t>TOTAL</t>
  </si>
  <si>
    <t>Technical Factor</t>
  </si>
  <si>
    <t>Feedback</t>
  </si>
  <si>
    <t>Code Contribution</t>
  </si>
  <si>
    <t>Team Role</t>
  </si>
  <si>
    <t>Feedbacks</t>
  </si>
  <si>
    <r>
      <t xml:space="preserve">Theme and Fantasy
</t>
    </r>
    <r>
      <rPr>
        <i/>
        <sz val="11"/>
        <color theme="0" tint="-0.34998626667073579"/>
        <rFont val="Calibri"/>
        <family val="2"/>
        <scheme val="minor"/>
      </rPr>
      <t xml:space="preserve">      How well did you implement your Theme</t>
    </r>
  </si>
  <si>
    <r>
      <t xml:space="preserve">Consistency
</t>
    </r>
    <r>
      <rPr>
        <sz val="11"/>
        <color theme="0" tint="-0.34998626667073579"/>
        <rFont val="Calibri"/>
        <family val="2"/>
        <scheme val="minor"/>
      </rPr>
      <t xml:space="preserve">      </t>
    </r>
    <r>
      <rPr>
        <i/>
        <sz val="11"/>
        <color theme="0" tint="-0.34998626667073579"/>
        <rFont val="Calibri"/>
        <family val="2"/>
        <scheme val="minor"/>
      </rPr>
      <t xml:space="preserve">Consistent visuals, sound and music </t>
    </r>
  </si>
  <si>
    <r>
      <t xml:space="preserve">Major Design Flaws
</t>
    </r>
    <r>
      <rPr>
        <sz val="11"/>
        <color theme="0" tint="-0.34998626667073579"/>
        <rFont val="Calibri"/>
        <family val="2"/>
        <scheme val="minor"/>
      </rPr>
      <t xml:space="preserve">      </t>
    </r>
    <r>
      <rPr>
        <i/>
        <sz val="11"/>
        <color theme="0" tint="-0.34998626667073579"/>
        <rFont val="Calibri"/>
        <family val="2"/>
        <scheme val="minor"/>
      </rPr>
      <t>Major issue with the design</t>
    </r>
  </si>
  <si>
    <r>
      <t xml:space="preserve">Simplicity
</t>
    </r>
    <r>
      <rPr>
        <sz val="11"/>
        <color theme="0" tint="-0.34998626667073579"/>
        <rFont val="Calibri"/>
        <family val="2"/>
        <scheme val="minor"/>
      </rPr>
      <t xml:space="preserve">      </t>
    </r>
    <r>
      <rPr>
        <i/>
        <sz val="11"/>
        <color theme="0" tint="-0.34998626667073579"/>
        <rFont val="Calibri"/>
        <family val="2"/>
        <scheme val="minor"/>
      </rPr>
      <t>Controls are clear and easy to use</t>
    </r>
  </si>
  <si>
    <t>ADDITIONAL MODIFIERS</t>
  </si>
  <si>
    <r>
      <t xml:space="preserve">Explanation of feedbacks
</t>
    </r>
    <r>
      <rPr>
        <sz val="11"/>
        <color theme="0" tint="-0.34998626667073579"/>
        <rFont val="Calibri"/>
        <family val="2"/>
        <scheme val="minor"/>
      </rPr>
      <t xml:space="preserve">      </t>
    </r>
    <r>
      <rPr>
        <i/>
        <sz val="11"/>
        <color theme="0" tint="-0.34998626667073579"/>
        <rFont val="Calibri"/>
        <family val="2"/>
        <scheme val="minor"/>
      </rPr>
      <t xml:space="preserve">Can the lecturer identify and understand the feedbacks </t>
    </r>
  </si>
  <si>
    <r>
      <t xml:space="preserve">Menu &amp; UI
</t>
    </r>
    <r>
      <rPr>
        <sz val="11"/>
        <color theme="0" tint="-0.34998626667073579"/>
        <rFont val="Calibri"/>
        <family val="2"/>
        <scheme val="minor"/>
      </rPr>
      <t xml:space="preserve">      </t>
    </r>
    <r>
      <rPr>
        <i/>
        <sz val="11"/>
        <color theme="0" tint="-0.34998626667073579"/>
        <rFont val="Calibri"/>
        <family val="2"/>
        <scheme val="minor"/>
      </rPr>
      <t>Quality of the Menus and UI</t>
    </r>
  </si>
  <si>
    <r>
      <t xml:space="preserve">Overall Quality
</t>
    </r>
    <r>
      <rPr>
        <sz val="11"/>
        <color theme="0" tint="-0.34998626667073579"/>
        <rFont val="Calibri"/>
        <family val="2"/>
        <scheme val="minor"/>
      </rPr>
      <t xml:space="preserve">      </t>
    </r>
    <r>
      <rPr>
        <i/>
        <sz val="11"/>
        <color theme="0" tint="-0.34998626667073579"/>
        <rFont val="Calibri"/>
        <family val="2"/>
        <scheme val="minor"/>
      </rPr>
      <t>Quality of the visuals &amp; aurals feedback, response time, visibility</t>
    </r>
  </si>
  <si>
    <r>
      <t xml:space="preserve">Proper Actions Feedbacks
</t>
    </r>
    <r>
      <rPr>
        <sz val="11"/>
        <color theme="0" tint="-0.34998626667073579"/>
        <rFont val="Calibri"/>
        <family val="2"/>
        <scheme val="minor"/>
      </rPr>
      <t xml:space="preserve">      </t>
    </r>
    <r>
      <rPr>
        <i/>
        <sz val="11"/>
        <color theme="0" tint="-0.34998626667073579"/>
        <rFont val="Calibri"/>
        <family val="2"/>
        <scheme val="minor"/>
      </rPr>
      <t>Do all the major action have feedback on screen</t>
    </r>
  </si>
  <si>
    <t>Menus</t>
  </si>
  <si>
    <t>DigiPen Logo</t>
  </si>
  <si>
    <t>DigiPen Copyright</t>
  </si>
  <si>
    <t>Options Menu</t>
  </si>
  <si>
    <t>Game Reset Menu Option</t>
  </si>
  <si>
    <t>Not Applicable</t>
  </si>
  <si>
    <t>Game does not support feature/ Not Part of this test pass</t>
  </si>
  <si>
    <t>Passed</t>
  </si>
  <si>
    <t>TCR was passed</t>
  </si>
  <si>
    <t>Failed</t>
  </si>
  <si>
    <t>TCR was failed</t>
  </si>
  <si>
    <t>Not Tested</t>
  </si>
  <si>
    <r>
      <t xml:space="preserve">TCR was not tested - </t>
    </r>
    <r>
      <rPr>
        <b/>
        <i/>
        <sz val="11"/>
        <color indexed="55"/>
        <rFont val="Calibri"/>
        <family val="2"/>
      </rPr>
      <t>Do not leave any field "Not Tested"</t>
    </r>
  </si>
  <si>
    <t>Confirmation of Destructive Action</t>
  </si>
  <si>
    <t>Game Launch</t>
  </si>
  <si>
    <t>Intro Screen Bypass</t>
  </si>
  <si>
    <t>Input</t>
  </si>
  <si>
    <t>High Stability</t>
  </si>
  <si>
    <t>Responsiveness</t>
  </si>
  <si>
    <t>60 Frames Per Second</t>
  </si>
  <si>
    <t>No Debug Info</t>
  </si>
  <si>
    <t>Audio Pause</t>
  </si>
  <si>
    <t>Misc</t>
  </si>
  <si>
    <t>500 Megabyte Limit</t>
  </si>
  <si>
    <t>Installer</t>
  </si>
  <si>
    <t>Screenshots</t>
  </si>
  <si>
    <t>Folder Structures</t>
  </si>
  <si>
    <t>No Unregistered Installer</t>
  </si>
  <si>
    <t>Status</t>
  </si>
  <si>
    <t>Penalty</t>
  </si>
  <si>
    <t>Bonus</t>
  </si>
  <si>
    <r>
      <t xml:space="preserve">Asserts/Debug Features
</t>
    </r>
    <r>
      <rPr>
        <sz val="11"/>
        <color theme="0" tint="-0.34998626667073579"/>
        <rFont val="Calibri"/>
        <family val="2"/>
        <scheme val="minor"/>
      </rPr>
      <t xml:space="preserve">    </t>
    </r>
    <r>
      <rPr>
        <i/>
        <sz val="11"/>
        <color theme="0" tint="-0.34998626667073579"/>
        <rFont val="Calibri"/>
        <family val="2"/>
        <scheme val="minor"/>
      </rPr>
      <t xml:space="preserve">  Easy to debug and maintain code. Proper usage of asserts</t>
    </r>
  </si>
  <si>
    <r>
      <t xml:space="preserve">Documentation
</t>
    </r>
    <r>
      <rPr>
        <sz val="11"/>
        <color theme="0" tint="-0.34998626667073579"/>
        <rFont val="Calibri"/>
        <family val="2"/>
        <scheme val="minor"/>
      </rPr>
      <t xml:space="preserve">      </t>
    </r>
    <r>
      <rPr>
        <i/>
        <sz val="11"/>
        <color theme="0" tint="-0.34998626667073579"/>
        <rFont val="Calibri"/>
        <family val="2"/>
        <scheme val="minor"/>
      </rPr>
      <t>Is the code easy to follow, good variable names, well commented code</t>
    </r>
  </si>
  <si>
    <r>
      <t xml:space="preserve">Code Quality
</t>
    </r>
    <r>
      <rPr>
        <sz val="11"/>
        <color theme="0" tint="-0.34998626667073579"/>
        <rFont val="Calibri"/>
        <family val="2"/>
        <scheme val="minor"/>
      </rPr>
      <t xml:space="preserve">    </t>
    </r>
    <r>
      <rPr>
        <i/>
        <sz val="11"/>
        <color theme="0" tint="-0.34998626667073579"/>
        <rFont val="Calibri"/>
        <family val="2"/>
        <scheme val="minor"/>
      </rPr>
      <t xml:space="preserve">  Well organized files and filters, Consistent structures &amp; functions names. Reuse of systems. Following some coding standards.</t>
    </r>
  </si>
  <si>
    <r>
      <t xml:space="preserve">Compilation Issues
</t>
    </r>
    <r>
      <rPr>
        <sz val="11"/>
        <color theme="0" tint="-0.34998626667073579"/>
        <rFont val="Calibri"/>
        <family val="2"/>
        <scheme val="minor"/>
      </rPr>
      <t xml:space="preserve">     </t>
    </r>
    <r>
      <rPr>
        <i/>
        <sz val="11"/>
        <color theme="0" tint="-0.34998626667073579"/>
        <rFont val="Calibri"/>
        <family val="2"/>
        <scheme val="minor"/>
      </rPr>
      <t>Warnings, Errors, Solutions that do not compile/run from visual</t>
    </r>
  </si>
  <si>
    <r>
      <t xml:space="preserve">Acomplishments (Bonus)
</t>
    </r>
    <r>
      <rPr>
        <sz val="11"/>
        <color theme="0" tint="-0.34998626667073579"/>
        <rFont val="Calibri"/>
        <family val="2"/>
        <scheme val="minor"/>
      </rPr>
      <t xml:space="preserve">      </t>
    </r>
    <r>
      <rPr>
        <i/>
        <sz val="11"/>
        <color theme="0" tint="-0.34998626667073579"/>
        <rFont val="Calibri"/>
        <family val="2"/>
        <scheme val="minor"/>
      </rPr>
      <t>Stand out technical features.</t>
    </r>
  </si>
  <si>
    <r>
      <t xml:space="preserve">UI Feedback quality
</t>
    </r>
    <r>
      <rPr>
        <sz val="11"/>
        <color theme="0" tint="-0.34998626667073579"/>
        <rFont val="Calibri"/>
        <family val="2"/>
        <scheme val="minor"/>
      </rPr>
      <t xml:space="preserve">      </t>
    </r>
    <r>
      <rPr>
        <i/>
        <sz val="11"/>
        <color theme="0" tint="-0.34998626667073579"/>
        <rFont val="Calibri"/>
        <family val="2"/>
        <scheme val="minor"/>
      </rPr>
      <t>Are the feedbacks for the UI clear and understandable</t>
    </r>
  </si>
  <si>
    <t>Credits Screen</t>
  </si>
  <si>
    <t>Full Screen</t>
  </si>
  <si>
    <t>Window Title</t>
  </si>
  <si>
    <t>Main Menus</t>
  </si>
  <si>
    <t>Basic Pause Menu</t>
  </si>
  <si>
    <t>Naming Convention</t>
  </si>
  <si>
    <t>Loading Screen</t>
  </si>
  <si>
    <t>Loading Speed</t>
  </si>
  <si>
    <t>Keyboard Support</t>
  </si>
  <si>
    <t>Mouse Support</t>
  </si>
  <si>
    <t>Gamepad Support</t>
  </si>
  <si>
    <t>Gamepad Detection</t>
  </si>
  <si>
    <t>Windows Minimization</t>
  </si>
  <si>
    <t>Game Exit</t>
  </si>
  <si>
    <t>Development Files</t>
  </si>
  <si>
    <t>Summary</t>
  </si>
  <si>
    <t>Custom Icons</t>
  </si>
  <si>
    <t xml:space="preserve">No Reboot During Installation </t>
  </si>
  <si>
    <t>Default Install Location</t>
  </si>
  <si>
    <t>Complete Uninstall</t>
  </si>
  <si>
    <t>Publisher Name</t>
  </si>
  <si>
    <t>Network Bandwidth</t>
  </si>
  <si>
    <t>Disconnection</t>
  </si>
  <si>
    <t>Game Search</t>
  </si>
  <si>
    <t>LAN Play</t>
  </si>
  <si>
    <t>No Online multiplayer in the game</t>
  </si>
  <si>
    <t>No Gamepad support in the game</t>
  </si>
  <si>
    <t>Platform</t>
  </si>
  <si>
    <t>Transitions</t>
  </si>
  <si>
    <t>Stability
&amp;
Responsiveness</t>
  </si>
  <si>
    <t>Submission</t>
  </si>
  <si>
    <t>Network</t>
  </si>
  <si>
    <r>
      <t xml:space="preserve">Consistency
</t>
    </r>
    <r>
      <rPr>
        <sz val="11"/>
        <color theme="0" tint="-0.34998626667073579"/>
        <rFont val="Calibri"/>
        <family val="2"/>
        <scheme val="minor"/>
      </rPr>
      <t xml:space="preserve">      </t>
    </r>
    <r>
      <rPr>
        <i/>
        <sz val="11"/>
        <color theme="0" tint="-0.34998626667073579"/>
        <rFont val="Calibri"/>
        <family val="2"/>
        <scheme val="minor"/>
      </rPr>
      <t>Are the feedbacks used the same way with the same actions</t>
    </r>
  </si>
  <si>
    <t>No Soft Locks</t>
  </si>
  <si>
    <r>
      <t xml:space="preserve">Core Experience
</t>
    </r>
    <r>
      <rPr>
        <sz val="11"/>
        <color theme="0" tint="-0.34998626667073579"/>
        <rFont val="Calibri"/>
        <family val="2"/>
        <scheme val="minor"/>
      </rPr>
      <t xml:space="preserve">    </t>
    </r>
    <r>
      <rPr>
        <i/>
        <sz val="11"/>
        <color theme="0" tint="-0.34998626667073579"/>
        <rFont val="Calibri"/>
        <family val="2"/>
        <scheme val="minor"/>
      </rPr>
      <t xml:space="preserve">  Is your main gameplay fun and engaging, does the lecturer want to play it</t>
    </r>
  </si>
  <si>
    <r>
      <t xml:space="preserve">System Feature Fulfilment
</t>
    </r>
    <r>
      <rPr>
        <sz val="11"/>
        <color theme="0" tint="-0.34998626667073579"/>
        <rFont val="Calibri"/>
        <family val="2"/>
        <scheme val="minor"/>
      </rPr>
      <t xml:space="preserve">     </t>
    </r>
    <r>
      <rPr>
        <i/>
        <sz val="11"/>
        <color theme="0" tint="-0.34998626667073579"/>
        <rFont val="Calibri"/>
        <family val="2"/>
        <scheme val="minor"/>
      </rPr>
      <t>Did you complete all core features that were required of your product</t>
    </r>
  </si>
  <si>
    <r>
      <t xml:space="preserve">Product Scope Fulfilment
</t>
    </r>
    <r>
      <rPr>
        <sz val="11"/>
        <color theme="0" tint="-0.34998626667073579"/>
        <rFont val="Calibri"/>
        <family val="2"/>
        <scheme val="minor"/>
      </rPr>
      <t xml:space="preserve">      </t>
    </r>
    <r>
      <rPr>
        <i/>
        <sz val="11"/>
        <color theme="0" tint="-0.34998626667073579"/>
        <rFont val="Calibri"/>
        <family val="2"/>
        <scheme val="minor"/>
      </rPr>
      <t>Did your product achieve the goal it was set to accomplish</t>
    </r>
  </si>
  <si>
    <t>User Acceptance</t>
  </si>
  <si>
    <t>CSD1450 - PROJECT RUBRICS</t>
  </si>
  <si>
    <t>PRODUCT NAME</t>
  </si>
  <si>
    <t>Tutorial / How To Play/Use</t>
  </si>
  <si>
    <r>
      <t xml:space="preserve">Clear goals
</t>
    </r>
    <r>
      <rPr>
        <sz val="11"/>
        <color theme="0" tint="-0.34998626667073579"/>
        <rFont val="Calibri"/>
        <family val="2"/>
        <scheme val="minor"/>
      </rPr>
      <t xml:space="preserve">      </t>
    </r>
    <r>
      <rPr>
        <i/>
        <sz val="11"/>
        <color theme="0" tint="-0.34998626667073579"/>
        <rFont val="Calibri"/>
        <family val="2"/>
        <scheme val="minor"/>
      </rPr>
      <t>Product objectives are intuitive or clearly defined</t>
    </r>
  </si>
  <si>
    <t>NOTE:</t>
  </si>
  <si>
    <r>
      <t xml:space="preserve">Consistency
</t>
    </r>
    <r>
      <rPr>
        <sz val="11"/>
        <color theme="0" tint="-0.34998626667073579"/>
        <rFont val="Calibri"/>
        <family val="2"/>
        <scheme val="minor"/>
      </rPr>
      <t xml:space="preserve">      </t>
    </r>
    <r>
      <rPr>
        <i/>
        <sz val="11"/>
        <color theme="0" tint="-0.34998626667073579"/>
        <rFont val="Calibri"/>
        <family val="2"/>
        <scheme val="minor"/>
      </rPr>
      <t>All the actions are consistent in your product</t>
    </r>
  </si>
  <si>
    <t xml:space="preserve"> 0 - 2 Grade Scales</t>
  </si>
  <si>
    <t>Student</t>
  </si>
  <si>
    <t>Lecturer</t>
  </si>
  <si>
    <t>A</t>
  </si>
  <si>
    <t>0 - 2 Grade Scales</t>
  </si>
  <si>
    <t>F</t>
  </si>
  <si>
    <t>Grade Point Drop</t>
  </si>
  <si>
    <t>TEAM GRADE (STUDENTS)</t>
  </si>
  <si>
    <t>C</t>
  </si>
  <si>
    <t>For every 5 points of penalty accumulated, there will be a corresponding 1 grade scale drop applied to the final grade of the project.</t>
  </si>
  <si>
    <t>BONUSES DETAILS (STUDENTS)</t>
  </si>
  <si>
    <t>BONUSES DETAILS (Lecturer)</t>
  </si>
  <si>
    <t>E</t>
  </si>
  <si>
    <t>Only if networking</t>
  </si>
  <si>
    <t>Game is playable on the LAN</t>
  </si>
  <si>
    <t xml:space="preserve">Game must provide search screen for local area network games and not require the user to enter IP address to find games on the local area network. </t>
  </si>
  <si>
    <t>Game must handle lost of connection with a clean visible error message and then return to the game search menu.</t>
  </si>
  <si>
    <t>Game must keep network bandwidth at 128 Kbps or less.</t>
  </si>
  <si>
    <t>Networking</t>
  </si>
  <si>
    <r>
      <t>The game must have four screenshots with the precise filenames listed:
- “</t>
    </r>
    <r>
      <rPr>
        <i/>
        <sz val="11"/>
        <rFont val="Calibri"/>
        <family val="2"/>
      </rPr>
      <t>gamename</t>
    </r>
    <r>
      <rPr>
        <sz val="11"/>
        <rFont val="Calibri"/>
        <family val="2"/>
      </rPr>
      <t>_title.png”: screenshot of the title screen 
- ”</t>
    </r>
    <r>
      <rPr>
        <i/>
        <sz val="11"/>
        <rFont val="Calibri"/>
        <family val="2"/>
      </rPr>
      <t>gamename</t>
    </r>
    <r>
      <rPr>
        <sz val="11"/>
        <rFont val="Calibri"/>
        <family val="2"/>
      </rPr>
      <t>_1.png”, “</t>
    </r>
    <r>
      <rPr>
        <i/>
        <sz val="11"/>
        <rFont val="Calibri"/>
        <family val="2"/>
      </rPr>
      <t>gamename</t>
    </r>
    <r>
      <rPr>
        <sz val="11"/>
        <rFont val="Calibri"/>
        <family val="2"/>
      </rPr>
      <t>_2.png”, and “</t>
    </r>
    <r>
      <rPr>
        <i/>
        <sz val="11"/>
        <rFont val="Calibri"/>
        <family val="2"/>
      </rPr>
      <t>gamename</t>
    </r>
    <r>
      <rPr>
        <sz val="11"/>
        <rFont val="Calibri"/>
        <family val="2"/>
      </rPr>
      <t>_3.png” files that capture visually interesting moments of gameplay. 
These images can be no smaller than 800x600 and no larger than 1024x768. 
These files must be 100K or less in size.</t>
    </r>
  </si>
  <si>
    <t xml:space="preserve">The game must not have any source control files (git or SVN), or build artifacts (.pdb, .obj, etc.)  in the final submission and must not copy over any development files during installation. </t>
  </si>
  <si>
    <t>All the folders and files are properly named, according to the project requirements</t>
  </si>
  <si>
    <t>In the Windows control panel, the publisher of the game must be listed as “DigiPen Institute of Technology”.</t>
  </si>
  <si>
    <t xml:space="preserve"> Uninstalling the game must remove all files and all shortcuts of any kind. The only exceptions are when you install redistributable libraries or things like custom fonts (which must be installed to the system font directory), which do not have to be removed when the game is removed. In addition, you can leave saved game files and custom settings files, but only if they are in the user's folder (which they should be).</t>
  </si>
  <si>
    <t>PC games must have a default install location of “[Program Files]\DigiPen\[GameName]”, but must allow the user to change the location if they wish. [Program File (x86)]\DigiPen\[GameName]" is also allowed as a default location.</t>
  </si>
  <si>
    <t>The computer must not reboot or request a reboot during or after the installation process</t>
  </si>
  <si>
    <t>The file size of the game installer should be 500 megabytes or less. If it is larger than this, you must talk to the instructors to get an exception to this rubric.</t>
  </si>
  <si>
    <t xml:space="preserve">Game shortcuts (desktop and start menu) must have a custom icon for the installer and the game itself after it is installed.  The DigiPen logo is not sufficient for this requirement. </t>
  </si>
  <si>
    <t>The installer used must be a registered version that does not have an "Unregistered Version" pop-up.</t>
  </si>
  <si>
    <r>
      <t>The game installs and runs, using a real installer. 
The installer must be named “</t>
    </r>
    <r>
      <rPr>
        <i/>
        <sz val="11"/>
        <rFont val="Calibri"/>
        <family val="2"/>
      </rPr>
      <t>gamename</t>
    </r>
    <r>
      <rPr>
        <sz val="11"/>
        <rFont val="Calibri"/>
        <family val="2"/>
      </rPr>
      <t>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r>
  </si>
  <si>
    <r>
      <t>The game must have a “</t>
    </r>
    <r>
      <rPr>
        <i/>
        <sz val="11"/>
        <rFont val="Calibri"/>
        <family val="2"/>
      </rPr>
      <t>gamename</t>
    </r>
    <r>
      <rPr>
        <sz val="11"/>
        <rFont val="Calibri"/>
        <family val="2"/>
      </rPr>
      <t xml:space="preserv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r>
  </si>
  <si>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</si>
  <si>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 xml:space="preserve">Gameplay must be paused whenever the game is minimized for any reason. When unminimized, the game can either be unpaused (if the pause menu was not active) or be restored with the pause menu activated (even if it wasn't before). The mouse must be released (if it was captured) when the game is minimized for any reason (including CTRL-ALT-DEL). While minimized, the game must not use large amounts of CPU or GPU cycles that are noticeable to the user. </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</si>
  <si>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</si>
  <si>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The game must maintain a framerate of at least 60 FPS on the normal lab machines.</t>
  </si>
  <si>
    <t>The game must not reach a "soft lock" state in which it must be shutdown, quit, or restarted  to continue gameplay.</t>
  </si>
  <si>
    <t>Not Soft Locks</t>
  </si>
  <si>
    <t xml:space="preserve">Game must never crash or destabilize the operating system. </t>
  </si>
  <si>
    <t>Stability &amp; Responsiveness</t>
  </si>
  <si>
    <t xml:space="preserve">The game detects and accepts a Gamepad/Peripheral even if it is plugged in after the game has started, assuming it is supported. </t>
  </si>
  <si>
    <t xml:space="preserve">If the game supports and is intended to be played using a gamepad you must be able to navigate all menus with the gamepad. The dpad and both analog sticks must work for navigation to meet this requirement. </t>
  </si>
  <si>
    <r>
      <t xml:space="preserve">If the mouse is used at any point in the game,  gameplay, menus or otherwise, then it must work for all menus, skippable screens, etc. 
If the game play (not the menus) does not use the mouse it must be invisible during gameplay. 
</t>
    </r>
    <r>
      <rPr>
        <b/>
        <sz val="11"/>
        <rFont val="Calibri"/>
        <family val="2"/>
      </rPr>
      <t xml:space="preserve"> </t>
    </r>
  </si>
  <si>
    <t xml:space="preserve">Keyboard Support - 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 </t>
  </si>
  <si>
    <t>Any loading screen can not be longer than 20 seconds.</t>
  </si>
  <si>
    <t>If the time required for loading exceeds 1 second, the application must display a loading screen.
If the time required for loading exceeds 3 seconds, the application must display an animation.
If the time required for loading exceeds 5 seconds, the application must display a progress information such as a progress bar or the remaining time.</t>
  </si>
  <si>
    <r>
      <t xml:space="preserve">The game must start displaying a non blank window </t>
    </r>
    <r>
      <rPr>
        <b/>
        <sz val="11"/>
        <rFont val="Calibri"/>
        <family val="2"/>
      </rPr>
      <t>within 3 seconds</t>
    </r>
    <r>
      <rPr>
        <sz val="11"/>
        <rFont val="Calibri"/>
        <family val="2"/>
      </rPr>
      <t xml:space="preserve"> on launch.  
Then other transition TCRs apply. This can be a special loading window.</t>
    </r>
  </si>
  <si>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</si>
  <si>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r>
      <t xml:space="preserve">The game application should only be exited (closed) from the </t>
    </r>
    <r>
      <rPr>
        <b/>
        <sz val="11"/>
        <rFont val="Calibri"/>
        <family val="2"/>
      </rPr>
      <t>Main Menu level</t>
    </r>
    <r>
      <rPr>
        <sz val="11"/>
        <rFont val="Calibri"/>
        <family val="2"/>
      </rPr>
      <t xml:space="preserve"> (Using Escape key and/or Exit button).</t>
    </r>
  </si>
  <si>
    <t>Game must confirm any destructive action such as quitting the game or overwriting save files.</t>
  </si>
  <si>
    <t>Game must have an option on the pause menu to reset the game without exiting. The exact nature of this option will depend on the nature of your game. Possibilities include "Restart Game", "Return to Overworld", "New Game", "Exit Level", etc.</t>
  </si>
  <si>
    <r>
      <t xml:space="preserve">The names of buttons on menus must comply to the following conventions:
</t>
    </r>
    <r>
      <rPr>
        <i/>
        <sz val="11"/>
        <rFont val="Calibri"/>
        <family val="2"/>
      </rPr>
      <t>Start Game:</t>
    </r>
    <r>
      <rPr>
        <sz val="11"/>
        <rFont val="Calibri"/>
        <family val="2"/>
      </rPr>
      <t xml:space="preserve"> "</t>
    </r>
    <r>
      <rPr>
        <b/>
        <sz val="11"/>
        <rFont val="Calibri"/>
        <family val="2"/>
      </rPr>
      <t>Start Game</t>
    </r>
    <r>
      <rPr>
        <sz val="11"/>
        <rFont val="Calibri"/>
        <family val="2"/>
      </rPr>
      <t>" or "</t>
    </r>
    <r>
      <rPr>
        <b/>
        <sz val="11"/>
        <rFont val="Calibri"/>
        <family val="2"/>
      </rPr>
      <t>New Game</t>
    </r>
    <r>
      <rPr>
        <sz val="11"/>
        <rFont val="Calibri"/>
        <family val="2"/>
      </rPr>
      <t xml:space="preserve">"
</t>
    </r>
    <r>
      <rPr>
        <i/>
        <sz val="11"/>
        <rFont val="Calibri"/>
        <family val="2"/>
      </rPr>
      <t>Load Game:</t>
    </r>
    <r>
      <rPr>
        <sz val="11"/>
        <rFont val="Calibri"/>
        <family val="2"/>
      </rPr>
      <t>(for games with save files) - "</t>
    </r>
    <r>
      <rPr>
        <b/>
        <sz val="11"/>
        <rFont val="Calibri"/>
        <family val="2"/>
      </rPr>
      <t>Load Saved Game</t>
    </r>
    <r>
      <rPr>
        <sz val="11"/>
        <rFont val="Calibri"/>
        <family val="2"/>
      </rPr>
      <t>" or "</t>
    </r>
    <r>
      <rPr>
        <b/>
        <sz val="11"/>
        <rFont val="Calibri"/>
        <family val="2"/>
      </rPr>
      <t>Load Save File</t>
    </r>
    <r>
      <rPr>
        <sz val="11"/>
        <rFont val="Calibri"/>
        <family val="2"/>
      </rPr>
      <t xml:space="preserve">". 
</t>
    </r>
    <r>
      <rPr>
        <i/>
        <sz val="11"/>
        <rFont val="Calibri"/>
        <family val="2"/>
      </rPr>
      <t>Restart Game:</t>
    </r>
    <r>
      <rPr>
        <sz val="11"/>
        <rFont val="Calibri"/>
        <family val="2"/>
      </rPr>
      <t xml:space="preserve"> "</t>
    </r>
    <r>
      <rPr>
        <b/>
        <sz val="11"/>
        <rFont val="Calibri"/>
        <family val="2"/>
      </rPr>
      <t>Restart Game</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xml:space="preserve">". 
</t>
    </r>
    <r>
      <rPr>
        <i/>
        <sz val="11"/>
        <rFont val="Calibri"/>
        <family val="2"/>
      </rPr>
      <t>Return to Main Menu:</t>
    </r>
    <r>
      <rPr>
        <sz val="11"/>
        <rFont val="Calibri"/>
        <family val="2"/>
      </rPr>
      <t xml:space="preserve"> "</t>
    </r>
    <r>
      <rPr>
        <b/>
        <sz val="11"/>
        <rFont val="Calibri"/>
        <family val="2"/>
      </rPr>
      <t>Return to Main Menu</t>
    </r>
    <r>
      <rPr>
        <sz val="11"/>
        <rFont val="Calibri"/>
        <family val="2"/>
      </rPr>
      <t>" or "</t>
    </r>
    <r>
      <rPr>
        <b/>
        <sz val="11"/>
        <rFont val="Calibri"/>
        <family val="2"/>
      </rPr>
      <t>Exit to Main Menu</t>
    </r>
    <r>
      <rPr>
        <sz val="11"/>
        <rFont val="Calibri"/>
        <family val="2"/>
      </rPr>
      <t xml:space="preserve">". 
</t>
    </r>
    <r>
      <rPr>
        <i/>
        <sz val="11"/>
        <rFont val="Calibri"/>
        <family val="2"/>
      </rPr>
      <t>Quit Game:</t>
    </r>
    <r>
      <rPr>
        <sz val="11"/>
        <rFont val="Calibri"/>
        <family val="2"/>
      </rPr>
      <t xml:space="preserve">  "</t>
    </r>
    <r>
      <rPr>
        <b/>
        <sz val="11"/>
        <rFont val="Calibri"/>
        <family val="2"/>
      </rPr>
      <t>Quit Game</t>
    </r>
    <r>
      <rPr>
        <sz val="11"/>
        <rFont val="Calibri"/>
        <family val="2"/>
      </rPr>
      <t xml:space="preserve">". 
</t>
    </r>
    <r>
      <rPr>
        <i/>
        <sz val="11"/>
        <rFont val="Calibri"/>
        <family val="2"/>
      </rPr>
      <t xml:space="preserve">Resume Game: </t>
    </r>
    <r>
      <rPr>
        <sz val="11"/>
        <rFont val="Calibri"/>
        <family val="2"/>
      </rPr>
      <t>"</t>
    </r>
    <r>
      <rPr>
        <b/>
        <sz val="11"/>
        <rFont val="Calibri"/>
        <family val="2"/>
      </rPr>
      <t>Resume Game</t>
    </r>
    <r>
      <rPr>
        <sz val="11"/>
        <rFont val="Calibri"/>
        <family val="2"/>
      </rPr>
      <t xml:space="preserve">". 
</t>
    </r>
    <r>
      <rPr>
        <i/>
        <sz val="11"/>
        <rFont val="Calibri"/>
        <family val="2"/>
      </rPr>
      <t>How To Play:</t>
    </r>
    <r>
      <rPr>
        <sz val="11"/>
        <rFont val="Calibri"/>
        <family val="2"/>
      </rPr>
      <t xml:space="preserve"> "</t>
    </r>
    <r>
      <rPr>
        <b/>
        <sz val="11"/>
        <rFont val="Calibri"/>
        <family val="2"/>
      </rPr>
      <t>How to Play</t>
    </r>
    <r>
      <rPr>
        <sz val="11"/>
        <rFont val="Calibri"/>
        <family val="2"/>
      </rPr>
      <t>" or "</t>
    </r>
    <r>
      <rPr>
        <b/>
        <sz val="11"/>
        <rFont val="Calibri"/>
        <family val="2"/>
      </rPr>
      <t>Controls</t>
    </r>
    <r>
      <rPr>
        <sz val="11"/>
        <rFont val="Calibri"/>
        <family val="2"/>
      </rPr>
      <t xml:space="preserve">". 
</t>
    </r>
    <r>
      <rPr>
        <i/>
        <sz val="11"/>
        <rFont val="Calibri"/>
        <family val="2"/>
      </rPr>
      <t xml:space="preserve">Credits: </t>
    </r>
    <r>
      <rPr>
        <sz val="11"/>
        <rFont val="Calibri"/>
        <family val="2"/>
      </rPr>
      <t>"</t>
    </r>
    <r>
      <rPr>
        <b/>
        <sz val="11"/>
        <rFont val="Calibri"/>
        <family val="2"/>
      </rPr>
      <t>Credits</t>
    </r>
    <r>
      <rPr>
        <sz val="11"/>
        <rFont val="Calibri"/>
        <family val="2"/>
      </rPr>
      <t xml:space="preserve">". 
</t>
    </r>
    <r>
      <rPr>
        <i/>
        <sz val="11"/>
        <rFont val="Calibri"/>
        <family val="2"/>
      </rPr>
      <t>Options:</t>
    </r>
    <r>
      <rPr>
        <sz val="11"/>
        <rFont val="Calibri"/>
        <family val="2"/>
      </rPr>
      <t xml:space="preserve"> "</t>
    </r>
    <r>
      <rPr>
        <b/>
        <sz val="11"/>
        <rFont val="Calibri"/>
        <family val="2"/>
      </rPr>
      <t>Options</t>
    </r>
    <r>
      <rPr>
        <sz val="11"/>
        <rFont val="Calibri"/>
        <family val="2"/>
      </rPr>
      <t xml:space="preserve">". 
</t>
    </r>
    <r>
      <rPr>
        <i/>
        <sz val="11"/>
        <rFont val="Calibri"/>
        <family val="2"/>
      </rPr>
      <t>Extras:</t>
    </r>
    <r>
      <rPr>
        <sz val="11"/>
        <rFont val="Calibri"/>
        <family val="2"/>
      </rPr>
      <t xml:space="preserve"> "</t>
    </r>
    <r>
      <rPr>
        <b/>
        <sz val="11"/>
        <rFont val="Calibri"/>
        <family val="2"/>
      </rPr>
      <t>Extras</t>
    </r>
    <r>
      <rPr>
        <sz val="11"/>
        <rFont val="Calibri"/>
        <family val="2"/>
      </rPr>
      <t>".</t>
    </r>
  </si>
  <si>
    <r>
      <t xml:space="preserve">Game has a screen that includes the commands to, </t>
    </r>
    <r>
      <rPr>
        <b/>
        <sz val="11"/>
        <rFont val="Calibri"/>
        <family val="2"/>
      </rPr>
      <t xml:space="preserve">at least </t>
    </r>
    <r>
      <rPr>
        <sz val="11"/>
        <rFont val="Calibri"/>
        <family val="2"/>
      </rPr>
      <t xml:space="preserve">: 
- mute the music
- switch between </t>
    </r>
    <r>
      <rPr>
        <b/>
        <sz val="11"/>
        <rFont val="Calibri"/>
        <family val="2"/>
      </rPr>
      <t>windowed</t>
    </r>
    <r>
      <rPr>
        <sz val="11"/>
        <rFont val="Calibri"/>
        <family val="2"/>
      </rPr>
      <t xml:space="preserve"> and </t>
    </r>
    <r>
      <rPr>
        <b/>
        <sz val="11"/>
        <rFont val="Calibri"/>
        <family val="2"/>
      </rPr>
      <t>full screen</t>
    </r>
    <r>
      <rPr>
        <sz val="11"/>
        <rFont val="Calibri"/>
        <family val="2"/>
      </rPr>
      <t xml:space="preserve"> modes. 
This screen must also be accessible from the </t>
    </r>
    <r>
      <rPr>
        <b/>
        <sz val="11"/>
        <rFont val="Calibri"/>
        <family val="2"/>
      </rPr>
      <t>Pause menu</t>
    </r>
    <r>
      <rPr>
        <b/>
        <sz val="11"/>
        <rFont val="Calibri"/>
        <family val="2"/>
      </rPr>
      <t>.</t>
    </r>
  </si>
  <si>
    <r>
      <t>Game has a tutorial that explains the basic controls and goals of the game
or
Game has a screen that describes the basic controls, instructions, and goals of the game. This screen must be accessible from the pause menu</t>
    </r>
    <r>
      <rPr>
        <sz val="11"/>
        <rFont val="Calibri"/>
        <family val="2"/>
      </rPr>
      <t>.</t>
    </r>
  </si>
  <si>
    <t xml:space="preserve">Tutorial / How To Play
</t>
  </si>
  <si>
    <t>If the game is paused, the game's audio must stop or fade to a lower volume, and pausing or unpausing cannot cause odd problems with sound effects or music.</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</si>
  <si>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t>
    </r>
    <r>
      <rPr>
        <b/>
        <sz val="11"/>
        <rFont val="Calibri"/>
        <family val="2"/>
      </rPr>
      <t>quit game</t>
    </r>
    <r>
      <rPr>
        <sz val="11"/>
        <rFont val="Calibri"/>
        <family val="2"/>
      </rPr>
      <t xml:space="preserve"> option (which must have a confirmation),  a </t>
    </r>
    <r>
      <rPr>
        <b/>
        <sz val="11"/>
        <rFont val="Calibri"/>
        <family val="2"/>
      </rPr>
      <t>resume game</t>
    </r>
    <r>
      <rPr>
        <sz val="11"/>
        <rFont val="Calibri"/>
        <family val="2"/>
      </rPr>
      <t xml:space="preserve"> option labeled (which must also occur if you hit ESC/start again), and an </t>
    </r>
    <r>
      <rPr>
        <b/>
        <sz val="11"/>
        <rFont val="Calibri"/>
        <family val="2"/>
      </rPr>
      <t xml:space="preserve">Option Menu </t>
    </r>
    <r>
      <rPr>
        <sz val="11"/>
        <rFont val="Calibri"/>
        <family val="2"/>
      </rPr>
      <t>(spec below)</t>
    </r>
  </si>
  <si>
    <r>
      <t xml:space="preserve">Game must have a Main menu that includes </t>
    </r>
    <r>
      <rPr>
        <b/>
        <sz val="11"/>
        <rFont val="Calibri"/>
        <family val="2"/>
      </rPr>
      <t xml:space="preserve">at least </t>
    </r>
    <r>
      <rPr>
        <sz val="11"/>
        <rFont val="Calibri"/>
        <family val="2"/>
      </rPr>
      <t>the commands to :
- Start a new Game
- Load / Resume a game ( if your game supports save )
- Options
- Credits
- Quit Game ( with confirmation )</t>
    </r>
  </si>
  <si>
    <t>MENUS</t>
  </si>
  <si>
    <t>Window title must reflect the name of the game in English characters.</t>
  </si>
  <si>
    <t>Game must start in Fullscreen mode.
The option to switch to Windowed mode must be included in the option menu screen</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</si>
  <si>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</si>
  <si>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Game must display the official DigiPen copyright on the game’s credits screen. This notice is found at https://inside.digipen.edu/main/Game_Department_Copyright. Note that you should replace USA for SINGAPORE</t>
  </si>
  <si>
    <r>
      <t xml:space="preserve">Game must display the </t>
    </r>
    <r>
      <rPr>
        <b/>
        <sz val="11"/>
        <rFont val="Calibri"/>
        <family val="2"/>
      </rPr>
      <t>official DigiPen logo</t>
    </r>
    <r>
      <rPr>
        <sz val="11"/>
        <rFont val="Calibri"/>
        <family val="2"/>
      </rPr>
      <t xml:space="preserve"> all by itself as the first screen upon launching. It must be displayed unaltered for at least 2 seconds, after which you can move on or start modifying the logo in an artistic way. This logo is found at https://inside.digipen.edu/main/Game_Department_Copyright.</t>
    </r>
  </si>
  <si>
    <t>PLATFORM</t>
  </si>
  <si>
    <t>Comment</t>
  </si>
  <si>
    <t>Details</t>
  </si>
  <si>
    <t>TCR name</t>
  </si>
  <si>
    <t>TCR</t>
  </si>
  <si>
    <t>Technical Certification Requirements (TCRs) Guidelines</t>
  </si>
  <si>
    <t>Use this as a guide to filling up the TCR tab. You do not have to fill up this page, just fill up the TCR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</si>
</sst>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31"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family val="2"/>
      <scheme val="minor"/>
    </font>
    <font>
      <b/>
      <sz val="10"/>
      <color rgb="FFFFFFFF"/>
      <name val="Calibri"/>
      <family val="2"/>
      <scheme val="minor"/>
    </font>
    <font>
      <b/>
      <sz val="12"/>
      <color rgb="FFFFFFFF"/>
      <name val="Calibri"/>
      <family val="2"/>
      <scheme val="minor"/>
    </font>
    <font>
      <b/>
      <sz val="11"/>
      <color theme="9" tint="-0.499984740745262"/>
      <name val="Calibri"/>
      <family val="2"/>
      <scheme val="minor"/>
    </font>
    <font>
      <sz val="11"/>
      <color theme="0" tint="-0.34998626667073579"/>
      <name val="Calibri"/>
      <family val="2"/>
      <scheme val="minor"/>
    </font>
    <font>
      <i/>
      <sz val="11"/>
      <color theme="0" tint="-0.34998626667073579"/>
      <name val="Calibri"/>
      <family val="2"/>
      <scheme val="minor"/>
    </font>
    <font>
      <b/>
      <sz val="11"/>
      <color theme="5" tint="-0.499984740745262"/>
      <name val="Calibri"/>
      <family val="2"/>
      <scheme val="minor"/>
    </font>
    <font>
      <b/>
      <sz val="22"/>
      <color theme="9"/>
      <name val="Calibri"/>
      <family val="2"/>
      <scheme val="minor"/>
    </font>
    <font>
      <b/>
      <sz val="11"/>
      <color theme="9" tint="-0.249977111117893"/>
      <name val="Calibri"/>
      <family val="2"/>
      <scheme val="minor"/>
    </font>
    <font>
      <b/>
      <sz val="11"/>
      <color theme="1" tint="0.249977111117893"/>
      <name val="Calibri"/>
      <family val="2"/>
      <scheme val="minor"/>
    </font>
    <font>
      <b/>
      <i/>
      <sz val="11"/>
      <color indexed="55"/>
      <name val="Calibri"/>
      <family val="2"/>
    </font>
    <font>
      <b/>
      <sz val="11"/>
      <color theme="5" tint="-0.249977111117893"/>
      <name val="Calibri"/>
      <family val="2"/>
      <scheme val="minor"/>
    </font>
    <font>
      <sz val="11"/>
      <color theme="5" tint="-0.499984740745262"/>
      <name val="Calibri"/>
      <family val="2"/>
      <scheme val="minor"/>
    </font>
    <font>
      <b/>
      <sz val="14"/>
      <color rgb="FF000000"/>
      <name val="Calibri"/>
      <family val="2"/>
      <scheme val="minor"/>
    </font>
    <font>
      <sz val="11"/>
      <name val="Calibri"/>
      <family val="2"/>
      <scheme val="minor"/>
    </font>
    <font>
      <sz val="11"/>
      <color rgb="FF92D05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i/>
      <sz val="11"/>
      <name val="Calibri"/>
      <family val="2"/>
    </font>
    <font>
      <sz val="11"/>
      <name val="Calibri"/>
      <family val="2"/>
    </font>
    <font>
      <b/>
      <sz val="11"/>
      <name val="Calibri"/>
      <family val="2"/>
      <scheme val="minor"/>
    </font>
    <font>
      <b/>
      <sz val="11"/>
      <name val="Calibri"/>
      <family val="2"/>
    </font>
    <font>
      <sz val="22"/>
      <color theme="1"/>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59999389629810485"/>
        <bgColor indexed="64"/>
      </patternFill>
    </fill>
    <fill>
      <patternFill patternType="solid">
        <fgColor theme="1" tint="0.14999847407452621"/>
        <bgColor indexed="64"/>
      </patternFill>
    </fill>
    <fill>
      <patternFill patternType="solid">
        <fgColor theme="0"/>
        <bgColor indexed="64"/>
      </patternFill>
    </fill>
    <fill>
      <patternFill patternType="solid">
        <fgColor theme="6" tint="0.79998168889431442"/>
        <bgColor indexed="65"/>
      </patternFill>
    </fill>
    <fill>
      <patternFill patternType="solid">
        <fgColor theme="0" tint="-0.499984740745262"/>
        <bgColor indexed="64"/>
      </patternFill>
    </fill>
  </fills>
  <borders count="10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diagonal/>
    </border>
    <border>
      <left style="medium">
        <color rgb="FF00000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bottom style="medium">
        <color indexed="64"/>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rgb="FF000000"/>
      </left>
      <right style="medium">
        <color indexed="64"/>
      </right>
      <top style="medium">
        <color rgb="FF000000"/>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style="thin">
        <color indexed="64"/>
      </right>
      <top/>
      <bottom style="medium">
        <color indexed="64"/>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theme="0" tint="-0.34998626667073579"/>
      </right>
      <top style="thin">
        <color theme="0" tint="-0.34998626667073579"/>
      </top>
      <bottom style="medium">
        <color indexed="64"/>
      </bottom>
      <diagonal/>
    </border>
    <border>
      <left style="thin">
        <color indexed="64"/>
      </left>
      <right style="thin">
        <color indexed="64"/>
      </right>
      <top style="medium">
        <color indexed="64"/>
      </top>
      <bottom/>
      <diagonal/>
    </border>
    <border>
      <left style="medium">
        <color indexed="64"/>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indexed="64"/>
      </left>
      <right style="thin">
        <color indexed="64"/>
      </right>
      <top style="thick">
        <color indexed="64"/>
      </top>
      <bottom style="medium">
        <color indexed="64"/>
      </bottom>
      <diagonal/>
    </border>
    <border>
      <left style="medium">
        <color indexed="64"/>
      </left>
      <right style="medium">
        <color indexed="64"/>
      </right>
      <top style="medium">
        <color indexed="64"/>
      </top>
      <bottom/>
      <diagonal/>
    </border>
    <border>
      <left style="thin">
        <color theme="0" tint="-0.34998626667073579"/>
      </left>
      <right style="medium">
        <color indexed="64"/>
      </right>
      <top/>
      <bottom/>
      <diagonal/>
    </border>
    <border>
      <left style="medium">
        <color indexed="64"/>
      </left>
      <right style="thin">
        <color theme="0" tint="-0.34998626667073579"/>
      </right>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top style="medium">
        <color indexed="64"/>
      </top>
      <bottom style="thin">
        <color theme="0" tint="-0.34998626667073579"/>
      </bottom>
      <diagonal/>
    </border>
    <border>
      <left style="thin">
        <color theme="2" tint="-0.499984740745262"/>
      </left>
      <right style="thin">
        <color theme="2" tint="-0.499984740745262"/>
      </right>
      <top style="medium">
        <color indexed="64"/>
      </top>
      <bottom style="thin">
        <color theme="2" tint="-0.499984740745262"/>
      </bottom>
      <diagonal/>
    </border>
    <border>
      <left style="thin">
        <color theme="0" tint="-0.34998626667073579"/>
      </left>
      <right style="thin">
        <color theme="0" tint="-0.34998626667073579"/>
      </right>
      <top style="medium">
        <color indexed="64"/>
      </top>
      <bottom/>
      <diagonal/>
    </border>
    <border>
      <left style="thin">
        <color theme="0" tint="-0.34998626667073579"/>
      </left>
      <right style="thin">
        <color theme="0" tint="-0.34998626667073579"/>
      </right>
      <top/>
      <bottom/>
      <diagonal/>
    </border>
    <border>
      <left style="thin">
        <color theme="0" tint="-0.34998626667073579"/>
      </left>
      <right style="thin">
        <color theme="2" tint="-0.499984740745262"/>
      </right>
      <top style="thin">
        <color theme="0" tint="-0.34998626667073579"/>
      </top>
      <bottom/>
      <diagonal/>
    </border>
    <border>
      <left style="thin">
        <color theme="2" tint="-0.499984740745262"/>
      </left>
      <right style="thin">
        <color theme="0" tint="-0.34998626667073579"/>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theme="0" tint="-0.34998626667073579"/>
      </left>
      <right style="thin">
        <color theme="0" tint="-0.34998626667073579"/>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2">
    <xf numFmtId="0" fontId="0" fillId="0" borderId="0"/>
    <xf numFmtId="0" fontId="23" fillId="9" borderId="0" applyNumberFormat="0" applyBorder="0" applyAlignment="0" applyProtection="0"/>
  </cellStyleXfs>
  <cellXfs count="239">
    <xf numFmtId="0" fontId="0" fillId="0" borderId="0" xfId="0"/>
    <xf numFmtId="0" fontId="0" fillId="0" borderId="0" xfId="0" applyProtection="1"/>
    <xf numFmtId="0" fontId="0" fillId="0" borderId="21" xfId="0" applyBorder="1" applyAlignment="1" applyProtection="1">
      <alignment horizontal="center" vertical="center"/>
      <protection locked="0"/>
    </xf>
    <xf numFmtId="0" fontId="0" fillId="0" borderId="20"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5" xfId="0" applyBorder="1" applyAlignment="1" applyProtection="1">
      <alignment horizontal="left" vertical="center"/>
      <protection locked="0"/>
    </xf>
    <xf numFmtId="0" fontId="7" fillId="4" borderId="46" xfId="0" applyFont="1" applyFill="1" applyBorder="1" applyAlignment="1" applyProtection="1">
      <alignment horizontal="center" vertical="center" wrapText="1"/>
    </xf>
    <xf numFmtId="0" fontId="8" fillId="4" borderId="49" xfId="0" applyFont="1" applyFill="1" applyBorder="1" applyAlignment="1" applyProtection="1">
      <alignment horizontal="center" vertical="center" wrapText="1"/>
    </xf>
    <xf numFmtId="0" fontId="7" fillId="4" borderId="26" xfId="0" applyFont="1" applyFill="1" applyBorder="1" applyAlignment="1" applyProtection="1">
      <alignment horizontal="center" vertical="center" wrapText="1"/>
    </xf>
    <xf numFmtId="0" fontId="8" fillId="4" borderId="28" xfId="0" applyFont="1" applyFill="1" applyBorder="1" applyAlignment="1" applyProtection="1">
      <alignment vertical="center" wrapText="1"/>
    </xf>
    <xf numFmtId="0" fontId="8" fillId="4" borderId="31" xfId="0" applyFont="1" applyFill="1" applyBorder="1" applyAlignment="1" applyProtection="1">
      <alignment vertical="center" wrapText="1"/>
    </xf>
    <xf numFmtId="0" fontId="8" fillId="4" borderId="33" xfId="0" applyFont="1" applyFill="1" applyBorder="1" applyAlignment="1" applyProtection="1">
      <alignment vertical="center" wrapText="1"/>
    </xf>
    <xf numFmtId="0" fontId="8" fillId="4" borderId="36" xfId="0" applyFont="1" applyFill="1" applyBorder="1" applyAlignment="1" applyProtection="1">
      <alignment vertical="center" wrapText="1"/>
    </xf>
    <xf numFmtId="0" fontId="1" fillId="2" borderId="36" xfId="0" applyFont="1" applyFill="1" applyBorder="1" applyAlignment="1" applyProtection="1">
      <alignment vertical="center"/>
    </xf>
    <xf numFmtId="0" fontId="1" fillId="2" borderId="7" xfId="0" applyFont="1" applyFill="1" applyBorder="1" applyAlignment="1" applyProtection="1">
      <alignment vertical="center"/>
    </xf>
    <xf numFmtId="0" fontId="1" fillId="2" borderId="1" xfId="0" applyFont="1" applyFill="1" applyBorder="1" applyAlignment="1">
      <alignment horizontal="center"/>
    </xf>
    <xf numFmtId="0" fontId="1" fillId="2" borderId="29" xfId="0" applyFont="1" applyFill="1" applyBorder="1" applyAlignment="1">
      <alignment horizontal="center"/>
    </xf>
    <xf numFmtId="0" fontId="1" fillId="2" borderId="2" xfId="0" applyFont="1" applyFill="1" applyBorder="1" applyAlignment="1">
      <alignment vertical="center"/>
    </xf>
    <xf numFmtId="0" fontId="1" fillId="2" borderId="3" xfId="0" applyFont="1" applyFill="1" applyBorder="1" applyAlignment="1">
      <alignment vertical="center"/>
    </xf>
    <xf numFmtId="9" fontId="2" fillId="2" borderId="4" xfId="0" applyNumberFormat="1" applyFont="1" applyFill="1" applyBorder="1" applyAlignment="1">
      <alignment horizontal="center" vertical="center"/>
    </xf>
    <xf numFmtId="9" fontId="2" fillId="2" borderId="12"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0" xfId="0" applyFont="1" applyFill="1" applyAlignment="1">
      <alignment horizontal="center" vertical="center"/>
    </xf>
    <xf numFmtId="0" fontId="1" fillId="2" borderId="16" xfId="0" applyFont="1" applyFill="1" applyBorder="1" applyAlignment="1">
      <alignment horizontal="center" vertical="center"/>
    </xf>
    <xf numFmtId="9" fontId="10" fillId="0" borderId="50" xfId="0" applyNumberFormat="1" applyFont="1" applyBorder="1" applyAlignment="1">
      <alignment vertical="center"/>
    </xf>
    <xf numFmtId="0" fontId="0" fillId="0" borderId="51" xfId="0" applyBorder="1" applyAlignment="1">
      <alignment vertical="center" wrapText="1"/>
    </xf>
    <xf numFmtId="0" fontId="0" fillId="6" borderId="53" xfId="0" applyFill="1" applyBorder="1" applyAlignment="1" applyProtection="1">
      <alignment horizontal="center" vertical="center" wrapText="1"/>
      <protection locked="0"/>
    </xf>
    <xf numFmtId="0" fontId="0" fillId="3" borderId="51" xfId="0" applyFill="1" applyBorder="1" applyAlignment="1" applyProtection="1">
      <alignment vertical="top" wrapText="1"/>
      <protection locked="0"/>
    </xf>
    <xf numFmtId="9" fontId="10" fillId="0" borderId="54" xfId="0" applyNumberFormat="1" applyFont="1" applyBorder="1" applyAlignment="1">
      <alignment vertical="center"/>
    </xf>
    <xf numFmtId="0" fontId="0" fillId="0" borderId="55" xfId="0" applyBorder="1" applyAlignment="1">
      <alignment vertical="center" wrapText="1"/>
    </xf>
    <xf numFmtId="0" fontId="0" fillId="6" borderId="57" xfId="0" applyFill="1" applyBorder="1" applyAlignment="1" applyProtection="1">
      <alignment horizontal="center" vertical="center" wrapText="1"/>
      <protection locked="0"/>
    </xf>
    <xf numFmtId="0" fontId="0" fillId="3" borderId="55" xfId="0" applyFill="1" applyBorder="1" applyAlignment="1" applyProtection="1">
      <alignment vertical="top" wrapText="1"/>
      <protection locked="0"/>
    </xf>
    <xf numFmtId="9" fontId="10" fillId="0" borderId="58" xfId="0" applyNumberFormat="1" applyFont="1" applyBorder="1" applyAlignment="1">
      <alignment vertical="center"/>
    </xf>
    <xf numFmtId="0" fontId="0" fillId="0" borderId="59" xfId="0" applyBorder="1" applyAlignment="1">
      <alignment vertical="center" wrapText="1"/>
    </xf>
    <xf numFmtId="0" fontId="0" fillId="6" borderId="60" xfId="0" applyFill="1" applyBorder="1" applyAlignment="1" applyProtection="1">
      <alignment horizontal="center" vertical="center" wrapText="1"/>
      <protection locked="0"/>
    </xf>
    <xf numFmtId="0" fontId="0" fillId="3" borderId="61" xfId="0" applyFill="1" applyBorder="1" applyAlignment="1" applyProtection="1">
      <alignment vertical="top" wrapText="1"/>
      <protection locked="0"/>
    </xf>
    <xf numFmtId="9" fontId="5" fillId="0" borderId="7" xfId="0" applyNumberFormat="1" applyFont="1" applyBorder="1" applyAlignment="1">
      <alignment horizontal="center" vertical="center"/>
    </xf>
    <xf numFmtId="9" fontId="1" fillId="2" borderId="45" xfId="0" applyNumberFormat="1" applyFont="1" applyFill="1" applyBorder="1" applyAlignment="1">
      <alignment horizontal="center" vertical="center"/>
    </xf>
    <xf numFmtId="9" fontId="1" fillId="2" borderId="62" xfId="0" applyNumberFormat="1" applyFont="1" applyFill="1" applyBorder="1" applyAlignment="1">
      <alignment horizontal="center" vertical="center"/>
    </xf>
    <xf numFmtId="0" fontId="6" fillId="2" borderId="43" xfId="0" applyFont="1" applyFill="1" applyBorder="1" applyAlignment="1">
      <alignment horizontal="right" vertical="center"/>
    </xf>
    <xf numFmtId="0" fontId="4" fillId="2" borderId="40" xfId="0" applyFont="1" applyFill="1" applyBorder="1" applyAlignment="1">
      <alignment horizontal="center" vertical="center"/>
    </xf>
    <xf numFmtId="0" fontId="0" fillId="2" borderId="10" xfId="0" applyFill="1" applyBorder="1" applyAlignment="1">
      <alignment vertical="top" wrapText="1"/>
    </xf>
    <xf numFmtId="0" fontId="7" fillId="4" borderId="49" xfId="0" applyFont="1" applyFill="1" applyBorder="1" applyAlignment="1" applyProtection="1">
      <alignment horizontal="center" vertical="center" wrapText="1"/>
    </xf>
    <xf numFmtId="0" fontId="0" fillId="3" borderId="3" xfId="0" applyFill="1" applyBorder="1" applyAlignment="1" applyProtection="1">
      <alignment horizontal="center" vertical="center"/>
      <protection locked="0"/>
    </xf>
    <xf numFmtId="0" fontId="0" fillId="3" borderId="22" xfId="0" applyFill="1" applyBorder="1" applyAlignment="1" applyProtection="1">
      <alignment horizontal="center" vertical="center"/>
      <protection locked="0"/>
    </xf>
    <xf numFmtId="0" fontId="0" fillId="3" borderId="39" xfId="0" applyFill="1" applyBorder="1" applyAlignment="1" applyProtection="1">
      <alignment horizontal="center" vertical="center"/>
      <protection locked="0"/>
    </xf>
    <xf numFmtId="0" fontId="15" fillId="7" borderId="52" xfId="0" applyFont="1" applyFill="1" applyBorder="1" applyAlignment="1">
      <alignment horizontal="center" vertical="center"/>
    </xf>
    <xf numFmtId="0" fontId="15" fillId="7" borderId="30" xfId="0" applyFont="1" applyFill="1" applyBorder="1" applyAlignment="1" applyProtection="1">
      <alignment horizontal="center"/>
    </xf>
    <xf numFmtId="0" fontId="15" fillId="7" borderId="32" xfId="0" applyFont="1" applyFill="1" applyBorder="1" applyAlignment="1" applyProtection="1">
      <alignment horizontal="center"/>
    </xf>
    <xf numFmtId="0" fontId="15" fillId="7" borderId="35" xfId="0" applyFont="1" applyFill="1" applyBorder="1" applyAlignment="1" applyProtection="1">
      <alignment horizontal="center"/>
    </xf>
    <xf numFmtId="0" fontId="15" fillId="7" borderId="10" xfId="0" applyFont="1" applyFill="1" applyBorder="1" applyAlignment="1" applyProtection="1">
      <alignment horizontal="center"/>
    </xf>
    <xf numFmtId="0" fontId="15" fillId="7" borderId="56" xfId="0" applyFont="1" applyFill="1" applyBorder="1" applyAlignment="1">
      <alignment horizontal="center" vertical="center"/>
    </xf>
    <xf numFmtId="9" fontId="16" fillId="2" borderId="45" xfId="0" applyNumberFormat="1" applyFont="1" applyFill="1" applyBorder="1" applyAlignment="1">
      <alignment horizontal="center" vertical="center"/>
    </xf>
    <xf numFmtId="0" fontId="0" fillId="3" borderId="63" xfId="0" applyFill="1" applyBorder="1" applyAlignment="1" applyProtection="1">
      <alignment vertical="top" wrapText="1"/>
      <protection locked="0"/>
    </xf>
    <xf numFmtId="0" fontId="0" fillId="0" borderId="0" xfId="0"/>
    <xf numFmtId="0" fontId="12" fillId="8" borderId="16" xfId="0" applyFont="1" applyFill="1" applyBorder="1" applyAlignment="1">
      <alignment vertical="top"/>
    </xf>
    <xf numFmtId="0" fontId="12" fillId="8" borderId="14" xfId="0" applyFont="1" applyFill="1" applyBorder="1" applyAlignment="1">
      <alignment vertical="top"/>
    </xf>
    <xf numFmtId="0" fontId="0" fillId="8" borderId="12" xfId="0" applyFill="1" applyBorder="1" applyAlignment="1">
      <alignment horizontal="center"/>
    </xf>
    <xf numFmtId="0" fontId="4" fillId="2" borderId="65" xfId="0" applyFont="1" applyFill="1" applyBorder="1" applyAlignment="1">
      <alignment horizontal="center" vertical="center"/>
    </xf>
    <xf numFmtId="0" fontId="6" fillId="2" borderId="66" xfId="0" applyFont="1" applyFill="1" applyBorder="1" applyAlignment="1">
      <alignment horizontal="center" vertical="center" wrapText="1"/>
    </xf>
    <xf numFmtId="0" fontId="0" fillId="2" borderId="14" xfId="0" applyFill="1" applyBorder="1" applyAlignment="1">
      <alignment vertical="top" wrapText="1"/>
    </xf>
    <xf numFmtId="0" fontId="18" fillId="7" borderId="10" xfId="0" applyFont="1" applyFill="1" applyBorder="1" applyAlignment="1" applyProtection="1">
      <alignment horizontal="center"/>
    </xf>
    <xf numFmtId="0" fontId="4" fillId="2" borderId="14" xfId="0" applyFont="1" applyFill="1" applyBorder="1" applyAlignment="1">
      <alignment horizontal="center" vertical="center"/>
    </xf>
    <xf numFmtId="0" fontId="0" fillId="8" borderId="28" xfId="0" applyFill="1" applyBorder="1" applyAlignment="1">
      <alignment horizontal="center" vertical="top" wrapText="1"/>
    </xf>
    <xf numFmtId="0" fontId="0" fillId="8" borderId="29" xfId="0" applyFill="1" applyBorder="1" applyAlignment="1">
      <alignment horizontal="center" vertical="top" wrapText="1"/>
    </xf>
    <xf numFmtId="0" fontId="12" fillId="8" borderId="30" xfId="0" applyFont="1" applyFill="1" applyBorder="1" applyAlignment="1">
      <alignment vertical="top"/>
    </xf>
    <xf numFmtId="0" fontId="0" fillId="8" borderId="44" xfId="0" applyFill="1" applyBorder="1" applyAlignment="1">
      <alignment horizontal="center"/>
    </xf>
    <xf numFmtId="0" fontId="0" fillId="8" borderId="0" xfId="0" applyFill="1" applyBorder="1" applyAlignment="1">
      <alignment horizontal="center"/>
    </xf>
    <xf numFmtId="0" fontId="0" fillId="8" borderId="13" xfId="0" applyFill="1" applyBorder="1" applyAlignment="1">
      <alignment horizontal="center"/>
    </xf>
    <xf numFmtId="9" fontId="5" fillId="0" borderId="12" xfId="0" applyNumberFormat="1" applyFont="1" applyBorder="1" applyAlignment="1">
      <alignment horizontal="center" vertical="center"/>
    </xf>
    <xf numFmtId="9" fontId="10" fillId="0" borderId="69" xfId="0" applyNumberFormat="1" applyFont="1" applyBorder="1" applyAlignment="1">
      <alignment vertical="center"/>
    </xf>
    <xf numFmtId="0" fontId="0" fillId="3" borderId="16" xfId="0" applyFill="1" applyBorder="1" applyAlignment="1" applyProtection="1">
      <alignment vertical="top" wrapText="1"/>
      <protection locked="0"/>
    </xf>
    <xf numFmtId="0" fontId="15" fillId="7" borderId="70" xfId="0" applyFont="1" applyFill="1" applyBorder="1" applyAlignment="1">
      <alignment horizontal="center" vertical="center"/>
    </xf>
    <xf numFmtId="0" fontId="6" fillId="2" borderId="71" xfId="0" applyFont="1" applyFill="1" applyBorder="1" applyAlignment="1">
      <alignment horizontal="right" vertical="center"/>
    </xf>
    <xf numFmtId="0" fontId="1" fillId="2" borderId="72" xfId="0" applyFont="1" applyFill="1" applyBorder="1" applyAlignment="1">
      <alignment horizontal="center" vertical="center"/>
    </xf>
    <xf numFmtId="0" fontId="0" fillId="0" borderId="73" xfId="0" applyBorder="1" applyAlignment="1">
      <alignment wrapText="1"/>
    </xf>
    <xf numFmtId="0" fontId="15" fillId="7" borderId="67" xfId="0" applyFont="1" applyFill="1" applyBorder="1" applyAlignment="1">
      <alignment horizontal="center" vertical="center"/>
    </xf>
    <xf numFmtId="0" fontId="0" fillId="0" borderId="75" xfId="0" applyBorder="1" applyAlignment="1">
      <alignment wrapText="1"/>
    </xf>
    <xf numFmtId="0" fontId="0" fillId="6" borderId="76" xfId="0" applyFill="1" applyBorder="1" applyAlignment="1" applyProtection="1">
      <alignment horizontal="center" vertical="center" wrapText="1"/>
      <protection locked="0"/>
    </xf>
    <xf numFmtId="0" fontId="15" fillId="7" borderId="78" xfId="0" applyFont="1" applyFill="1" applyBorder="1" applyAlignment="1">
      <alignment horizontal="center" vertical="center"/>
    </xf>
    <xf numFmtId="0" fontId="15" fillId="7" borderId="77" xfId="0" applyFont="1" applyFill="1" applyBorder="1" applyAlignment="1">
      <alignment horizontal="center" vertical="center"/>
    </xf>
    <xf numFmtId="0" fontId="0" fillId="6" borderId="79" xfId="0" applyFill="1" applyBorder="1" applyAlignment="1" applyProtection="1">
      <alignment horizontal="center" vertical="center" wrapText="1"/>
      <protection locked="0"/>
    </xf>
    <xf numFmtId="0" fontId="0" fillId="3" borderId="59" xfId="0" applyFill="1" applyBorder="1" applyAlignment="1" applyProtection="1">
      <alignment vertical="top" wrapText="1"/>
      <protection locked="0"/>
    </xf>
    <xf numFmtId="0" fontId="0" fillId="6" borderId="80" xfId="0" applyFill="1" applyBorder="1" applyAlignment="1" applyProtection="1">
      <alignment horizontal="center" vertical="center" wrapText="1"/>
      <protection locked="0"/>
    </xf>
    <xf numFmtId="0" fontId="0" fillId="3" borderId="81" xfId="0" applyFill="1" applyBorder="1" applyAlignment="1" applyProtection="1">
      <alignment vertical="top" wrapText="1"/>
      <protection locked="0"/>
    </xf>
    <xf numFmtId="9" fontId="10" fillId="0" borderId="82" xfId="0" applyNumberFormat="1" applyFont="1" applyBorder="1" applyAlignment="1">
      <alignment vertical="center"/>
    </xf>
    <xf numFmtId="0" fontId="0" fillId="0" borderId="61" xfId="0" applyBorder="1" applyAlignment="1">
      <alignment vertical="center" wrapText="1"/>
    </xf>
    <xf numFmtId="0" fontId="0" fillId="0" borderId="83" xfId="0" applyBorder="1" applyAlignment="1">
      <alignment wrapText="1"/>
    </xf>
    <xf numFmtId="0" fontId="15" fillId="7" borderId="84" xfId="0" applyFont="1" applyFill="1" applyBorder="1" applyAlignment="1">
      <alignment horizontal="center" vertical="center"/>
    </xf>
    <xf numFmtId="0" fontId="0" fillId="6" borderId="52" xfId="0" applyFill="1" applyBorder="1" applyAlignment="1" applyProtection="1">
      <alignment horizontal="center" vertical="center" wrapText="1"/>
      <protection locked="0"/>
    </xf>
    <xf numFmtId="0" fontId="19" fillId="7" borderId="74" xfId="0" applyFont="1" applyFill="1" applyBorder="1" applyAlignment="1" applyProtection="1">
      <alignment horizontal="center" vertical="center" wrapText="1"/>
      <protection locked="0"/>
    </xf>
    <xf numFmtId="0" fontId="19" fillId="6" borderId="64" xfId="0" applyFont="1" applyFill="1" applyBorder="1" applyAlignment="1" applyProtection="1">
      <alignment horizontal="center" vertical="center" wrapText="1"/>
      <protection locked="0"/>
    </xf>
    <xf numFmtId="0" fontId="0" fillId="0" borderId="87" xfId="0" applyBorder="1" applyAlignment="1">
      <alignment wrapText="1"/>
    </xf>
    <xf numFmtId="0" fontId="0" fillId="6" borderId="70" xfId="0" applyFill="1" applyBorder="1" applyAlignment="1" applyProtection="1">
      <alignment horizontal="center" vertical="center" wrapText="1"/>
      <protection locked="0"/>
    </xf>
    <xf numFmtId="0" fontId="0" fillId="0" borderId="7" xfId="0" applyBorder="1" applyAlignment="1">
      <alignment wrapText="1"/>
    </xf>
    <xf numFmtId="0" fontId="15" fillId="7" borderId="88" xfId="0" applyFont="1" applyFill="1" applyBorder="1" applyAlignment="1">
      <alignment horizontal="center" vertical="center"/>
    </xf>
    <xf numFmtId="0" fontId="0" fillId="0" borderId="48" xfId="0" applyFill="1" applyBorder="1" applyAlignment="1" applyProtection="1">
      <alignment vertical="center"/>
      <protection locked="0"/>
    </xf>
    <xf numFmtId="0" fontId="0" fillId="0" borderId="47" xfId="0" applyFill="1" applyBorder="1" applyAlignment="1" applyProtection="1">
      <alignment vertical="center"/>
      <protection locked="0"/>
    </xf>
    <xf numFmtId="0" fontId="7" fillId="4" borderId="27" xfId="0" applyFont="1" applyFill="1" applyBorder="1" applyAlignment="1" applyProtection="1">
      <alignment vertical="center" wrapText="1"/>
    </xf>
    <xf numFmtId="0" fontId="7" fillId="4" borderId="16" xfId="0" applyFont="1" applyFill="1" applyBorder="1" applyAlignment="1" applyProtection="1">
      <alignment vertical="center" wrapText="1"/>
    </xf>
    <xf numFmtId="0" fontId="8" fillId="4" borderId="27" xfId="0" applyFont="1" applyFill="1" applyBorder="1" applyAlignment="1" applyProtection="1">
      <alignment vertical="center" wrapText="1"/>
    </xf>
    <xf numFmtId="0" fontId="21" fillId="0" borderId="47" xfId="0" applyFont="1" applyFill="1" applyBorder="1" applyAlignment="1" applyProtection="1">
      <alignment vertical="center"/>
      <protection locked="0"/>
    </xf>
    <xf numFmtId="0" fontId="21" fillId="0" borderId="48" xfId="0" applyFont="1" applyFill="1" applyBorder="1" applyAlignment="1" applyProtection="1">
      <alignment vertical="center"/>
      <protection locked="0"/>
    </xf>
    <xf numFmtId="0" fontId="0" fillId="3" borderId="89" xfId="0" applyFill="1" applyBorder="1"/>
    <xf numFmtId="0" fontId="0" fillId="3" borderId="90" xfId="0" applyFill="1" applyBorder="1"/>
    <xf numFmtId="0" fontId="0" fillId="0" borderId="1" xfId="0"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0" fillId="0" borderId="91" xfId="0" applyFill="1" applyBorder="1" applyAlignment="1" applyProtection="1">
      <alignment vertical="center"/>
      <protection locked="0"/>
    </xf>
    <xf numFmtId="0" fontId="21" fillId="0" borderId="91" xfId="0" applyFont="1" applyFill="1" applyBorder="1" applyAlignment="1" applyProtection="1">
      <alignment vertical="center"/>
      <protection locked="0"/>
    </xf>
    <xf numFmtId="0" fontId="0" fillId="3" borderId="92" xfId="0" applyFill="1" applyBorder="1"/>
    <xf numFmtId="0" fontId="21" fillId="0" borderId="47" xfId="0" applyFont="1" applyFill="1" applyBorder="1" applyAlignment="1" applyProtection="1">
      <alignment horizontal="left" vertical="center"/>
      <protection locked="0"/>
    </xf>
    <xf numFmtId="0" fontId="21" fillId="0" borderId="8" xfId="0" applyFont="1" applyFill="1" applyBorder="1" applyAlignment="1" applyProtection="1"/>
    <xf numFmtId="0" fontId="21" fillId="0" borderId="24" xfId="0" applyFont="1" applyFill="1" applyBorder="1" applyAlignment="1" applyProtection="1"/>
    <xf numFmtId="0" fontId="21" fillId="0" borderId="11" xfId="0" applyFont="1" applyFill="1" applyBorder="1" applyAlignment="1" applyProtection="1"/>
    <xf numFmtId="0" fontId="21" fillId="0" borderId="23" xfId="0" applyFont="1" applyFill="1" applyBorder="1" applyAlignment="1" applyProtection="1"/>
    <xf numFmtId="0" fontId="21" fillId="0" borderId="9" xfId="0" applyFont="1" applyFill="1" applyBorder="1" applyAlignment="1" applyProtection="1"/>
    <xf numFmtId="0" fontId="21" fillId="0" borderId="25" xfId="0" applyFont="1" applyFill="1" applyBorder="1" applyAlignment="1" applyProtection="1"/>
    <xf numFmtId="0" fontId="13" fillId="2" borderId="40" xfId="0" applyFont="1" applyFill="1" applyBorder="1" applyAlignment="1" applyProtection="1">
      <alignment horizontal="center"/>
    </xf>
    <xf numFmtId="0" fontId="0" fillId="0" borderId="0" xfId="0" applyBorder="1" applyAlignment="1">
      <alignment vertical="center" wrapText="1"/>
    </xf>
    <xf numFmtId="0" fontId="4" fillId="7" borderId="0" xfId="0" applyFont="1" applyFill="1" applyBorder="1" applyAlignment="1">
      <alignment horizontal="center" vertical="center"/>
    </xf>
    <xf numFmtId="0" fontId="6" fillId="7" borderId="0" xfId="0" applyFont="1" applyFill="1" applyBorder="1" applyAlignment="1" applyProtection="1">
      <alignment horizontal="center"/>
    </xf>
    <xf numFmtId="0" fontId="0" fillId="3" borderId="0" xfId="0" applyFill="1" applyBorder="1" applyAlignment="1" applyProtection="1">
      <alignment vertical="top" wrapText="1"/>
      <protection locked="0"/>
    </xf>
    <xf numFmtId="0" fontId="0" fillId="0" borderId="0" xfId="0" applyBorder="1" applyAlignment="1">
      <alignment horizontal="center" vertical="top"/>
    </xf>
    <xf numFmtId="0" fontId="0" fillId="0" borderId="29" xfId="0" applyBorder="1" applyAlignment="1">
      <alignment vertical="center" wrapText="1"/>
    </xf>
    <xf numFmtId="0" fontId="4" fillId="7" borderId="29" xfId="0" applyFont="1" applyFill="1" applyBorder="1" applyAlignment="1">
      <alignment horizontal="center" vertical="center"/>
    </xf>
    <xf numFmtId="0" fontId="6" fillId="7" borderId="29" xfId="0" applyFont="1" applyFill="1" applyBorder="1" applyAlignment="1" applyProtection="1">
      <alignment horizontal="center"/>
    </xf>
    <xf numFmtId="0" fontId="0" fillId="3" borderId="30" xfId="0" applyFill="1" applyBorder="1" applyAlignment="1" applyProtection="1">
      <alignment vertical="top" wrapText="1"/>
      <protection locked="0"/>
    </xf>
    <xf numFmtId="0" fontId="0" fillId="0" borderId="12" xfId="0" applyBorder="1" applyAlignment="1">
      <alignment vertical="center" wrapText="1"/>
    </xf>
    <xf numFmtId="0" fontId="4" fillId="7" borderId="12" xfId="0" applyFont="1" applyFill="1" applyBorder="1" applyAlignment="1">
      <alignment horizontal="center" vertical="center"/>
    </xf>
    <xf numFmtId="0" fontId="0" fillId="0" borderId="12" xfId="0" applyBorder="1" applyAlignment="1">
      <alignment horizontal="center" vertical="top"/>
    </xf>
    <xf numFmtId="0" fontId="6" fillId="7" borderId="12" xfId="0" applyFont="1" applyFill="1" applyBorder="1" applyAlignment="1" applyProtection="1">
      <alignment horizontal="center"/>
    </xf>
    <xf numFmtId="0" fontId="0" fillId="3" borderId="14" xfId="0" applyFill="1" applyBorder="1" applyAlignment="1" applyProtection="1">
      <alignment vertical="top" wrapText="1"/>
      <protection locked="0"/>
    </xf>
    <xf numFmtId="0" fontId="0" fillId="0" borderId="29" xfId="0" applyBorder="1" applyAlignment="1">
      <alignment horizontal="center" vertical="top"/>
    </xf>
    <xf numFmtId="0" fontId="0" fillId="0" borderId="89" xfId="0" applyBorder="1" applyAlignment="1">
      <alignment vertical="center" wrapText="1"/>
    </xf>
    <xf numFmtId="0" fontId="0" fillId="6" borderId="94" xfId="0" applyFill="1" applyBorder="1" applyAlignment="1" applyProtection="1">
      <alignment horizontal="center" vertical="center" wrapText="1"/>
      <protection locked="0"/>
    </xf>
    <xf numFmtId="0" fontId="0" fillId="3" borderId="95" xfId="0" applyFill="1" applyBorder="1" applyAlignment="1" applyProtection="1">
      <alignment vertical="top" wrapText="1"/>
      <protection locked="0"/>
    </xf>
    <xf numFmtId="9" fontId="5" fillId="0" borderId="8" xfId="0" applyNumberFormat="1" applyFont="1" applyBorder="1" applyAlignment="1">
      <alignment horizontal="center" vertical="center"/>
    </xf>
    <xf numFmtId="0" fontId="13" fillId="7" borderId="93" xfId="0" applyFont="1" applyFill="1" applyBorder="1" applyAlignment="1">
      <alignment horizontal="center" vertical="center"/>
    </xf>
    <xf numFmtId="0" fontId="0" fillId="0" borderId="8" xfId="0" applyBorder="1"/>
    <xf numFmtId="0" fontId="0" fillId="0" borderId="0" xfId="0" applyFill="1" applyBorder="1" applyAlignment="1">
      <alignment vertical="center" wrapText="1"/>
    </xf>
    <xf numFmtId="0" fontId="0" fillId="0" borderId="0" xfId="0" applyAlignment="1">
      <alignment vertical="top"/>
    </xf>
    <xf numFmtId="0" fontId="10" fillId="0" borderId="36" xfId="0" applyNumberFormat="1" applyFont="1" applyBorder="1" applyAlignment="1">
      <alignment horizontal="right" vertical="center" wrapText="1"/>
    </xf>
    <xf numFmtId="0" fontId="13" fillId="0" borderId="13" xfId="0" applyNumberFormat="1" applyFont="1" applyBorder="1" applyAlignment="1">
      <alignment horizontal="right" vertical="center" wrapText="1"/>
    </xf>
    <xf numFmtId="0" fontId="13" fillId="0" borderId="18" xfId="0" applyNumberFormat="1" applyFont="1" applyBorder="1" applyAlignment="1">
      <alignment horizontal="right" vertical="center" wrapText="1"/>
    </xf>
    <xf numFmtId="0" fontId="0" fillId="2" borderId="0" xfId="0" applyFill="1"/>
    <xf numFmtId="0" fontId="6" fillId="2" borderId="0" xfId="0" applyFont="1" applyFill="1" applyBorder="1" applyAlignment="1">
      <alignment horizontal="right" vertical="center" wrapText="1"/>
    </xf>
    <xf numFmtId="0" fontId="22" fillId="2" borderId="0" xfId="0" applyFont="1" applyFill="1" applyAlignment="1">
      <alignment horizontal="center"/>
    </xf>
    <xf numFmtId="0" fontId="7" fillId="4" borderId="31" xfId="0" applyFont="1" applyFill="1" applyBorder="1" applyAlignment="1" applyProtection="1">
      <alignment vertical="center" wrapText="1"/>
    </xf>
    <xf numFmtId="0" fontId="13" fillId="0" borderId="28" xfId="0" applyNumberFormat="1" applyFont="1" applyBorder="1" applyAlignment="1">
      <alignment vertical="center"/>
    </xf>
    <xf numFmtId="0" fontId="0" fillId="8" borderId="0" xfId="0" applyFill="1" applyAlignment="1">
      <alignment vertical="top"/>
    </xf>
    <xf numFmtId="0" fontId="0" fillId="8" borderId="0" xfId="0" applyFill="1" applyAlignment="1">
      <alignment horizontal="center" vertical="top"/>
    </xf>
    <xf numFmtId="0" fontId="0" fillId="8" borderId="0" xfId="0" applyFill="1" applyAlignment="1">
      <alignment vertical="top" wrapText="1"/>
    </xf>
    <xf numFmtId="0" fontId="24" fillId="0" borderId="0" xfId="0" applyFont="1" applyAlignment="1">
      <alignment vertical="top" wrapText="1"/>
    </xf>
    <xf numFmtId="0" fontId="23" fillId="9" borderId="90"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5" fillId="0" borderId="19" xfId="0" applyFont="1" applyBorder="1" applyAlignment="1">
      <alignment vertical="top"/>
    </xf>
    <xf numFmtId="0" fontId="23" fillId="9" borderId="89" xfId="1" applyBorder="1" applyAlignment="1">
      <alignment vertical="top"/>
    </xf>
    <xf numFmtId="0" fontId="0" fillId="0" borderId="8" xfId="0" applyBorder="1" applyAlignment="1">
      <alignment horizontal="center" vertical="top"/>
    </xf>
    <xf numFmtId="0" fontId="0" fillId="0" borderId="8" xfId="0" applyBorder="1" applyAlignment="1">
      <alignment vertical="top" wrapText="1"/>
    </xf>
    <xf numFmtId="0" fontId="5" fillId="0" borderId="18" xfId="0" applyFont="1" applyBorder="1" applyAlignment="1">
      <alignment vertical="top"/>
    </xf>
    <xf numFmtId="0" fontId="24" fillId="0" borderId="8" xfId="0" applyFont="1" applyBorder="1" applyAlignment="1">
      <alignment vertical="top" wrapText="1"/>
    </xf>
    <xf numFmtId="0" fontId="6" fillId="10" borderId="89" xfId="0" applyFont="1" applyFill="1" applyBorder="1" applyAlignment="1">
      <alignment vertical="top"/>
    </xf>
    <xf numFmtId="0" fontId="6" fillId="10" borderId="8" xfId="0" applyFont="1" applyFill="1" applyBorder="1" applyAlignment="1">
      <alignment vertical="top"/>
    </xf>
    <xf numFmtId="0" fontId="25" fillId="10" borderId="18" xfId="0" applyFont="1" applyFill="1" applyBorder="1" applyAlignment="1">
      <alignment vertical="top"/>
    </xf>
    <xf numFmtId="0" fontId="21" fillId="0" borderId="8" xfId="0" applyFont="1" applyBorder="1" applyAlignment="1">
      <alignment vertical="top" wrapText="1"/>
    </xf>
    <xf numFmtId="0" fontId="28" fillId="0" borderId="18" xfId="0" applyFont="1" applyBorder="1" applyAlignment="1">
      <alignment vertical="top"/>
    </xf>
    <xf numFmtId="0" fontId="28" fillId="0" borderId="18" xfId="0" applyFont="1" applyBorder="1" applyAlignment="1">
      <alignment vertical="top" wrapText="1"/>
    </xf>
    <xf numFmtId="164" fontId="0" fillId="8" borderId="0" xfId="0" applyNumberFormat="1" applyFill="1" applyAlignment="1">
      <alignment vertical="top"/>
    </xf>
    <xf numFmtId="164" fontId="6" fillId="2" borderId="30" xfId="0" applyNumberFormat="1" applyFont="1" applyFill="1" applyBorder="1" applyAlignment="1">
      <alignment horizontal="center" vertical="top"/>
    </xf>
    <xf numFmtId="164" fontId="6" fillId="2" borderId="29" xfId="0" applyNumberFormat="1" applyFont="1" applyFill="1" applyBorder="1" applyAlignment="1">
      <alignment horizontal="center" vertical="top"/>
    </xf>
    <xf numFmtId="0" fontId="6" fillId="2" borderId="29" xfId="0" applyFont="1" applyFill="1" applyBorder="1" applyAlignment="1">
      <alignment horizontal="center" vertical="top" wrapText="1"/>
    </xf>
    <xf numFmtId="0" fontId="6" fillId="2" borderId="28" xfId="0" applyFont="1" applyFill="1" applyBorder="1" applyAlignment="1">
      <alignment horizontal="center" vertical="top"/>
    </xf>
    <xf numFmtId="165" fontId="0" fillId="8" borderId="0" xfId="0" applyNumberFormat="1" applyFill="1" applyAlignment="1">
      <alignment vertical="top"/>
    </xf>
    <xf numFmtId="165" fontId="0" fillId="8" borderId="0" xfId="0" applyNumberFormat="1" applyFill="1" applyAlignment="1">
      <alignment horizontal="center" vertical="top"/>
    </xf>
    <xf numFmtId="165" fontId="0" fillId="8" borderId="0" xfId="0" applyNumberFormat="1" applyFill="1" applyAlignment="1">
      <alignment vertical="top" wrapText="1"/>
    </xf>
    <xf numFmtId="165" fontId="0" fillId="8" borderId="12" xfId="0" applyNumberFormat="1" applyFill="1" applyBorder="1" applyAlignment="1">
      <alignment vertical="top" wrapText="1"/>
    </xf>
    <xf numFmtId="10" fontId="0" fillId="8" borderId="0" xfId="0" applyNumberFormat="1" applyFill="1" applyAlignment="1">
      <alignment vertical="top"/>
    </xf>
    <xf numFmtId="0" fontId="0" fillId="8" borderId="0" xfId="0" applyFill="1" applyAlignment="1">
      <alignment horizontal="center"/>
    </xf>
    <xf numFmtId="0" fontId="0" fillId="8" borderId="0" xfId="0" applyFill="1" applyAlignment="1">
      <alignment horizontal="center" vertical="top" wrapText="1"/>
    </xf>
    <xf numFmtId="0" fontId="1" fillId="2" borderId="44" xfId="0" applyFont="1" applyFill="1" applyBorder="1" applyAlignment="1">
      <alignment vertical="top"/>
    </xf>
    <xf numFmtId="0" fontId="1" fillId="2" borderId="28" xfId="0" applyFont="1" applyFill="1" applyBorder="1" applyAlignment="1">
      <alignment vertical="top"/>
    </xf>
    <xf numFmtId="0" fontId="0" fillId="0" borderId="18"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24" xfId="0" applyBorder="1" applyAlignment="1" applyProtection="1">
      <alignment horizontal="left" vertical="center"/>
      <protection locked="0"/>
    </xf>
    <xf numFmtId="0" fontId="0" fillId="0" borderId="19"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14" fillId="2" borderId="31" xfId="0" applyFont="1" applyFill="1" applyBorder="1" applyAlignment="1" applyProtection="1">
      <alignment horizontal="center" vertical="center" wrapText="1"/>
    </xf>
    <xf numFmtId="0" fontId="14" fillId="2" borderId="32" xfId="0" applyFont="1" applyFill="1" applyBorder="1" applyAlignment="1" applyProtection="1">
      <alignment horizontal="center" vertical="center" wrapText="1"/>
    </xf>
    <xf numFmtId="0" fontId="14" fillId="2" borderId="13" xfId="0" applyFont="1" applyFill="1" applyBorder="1" applyAlignment="1" applyProtection="1">
      <alignment horizontal="center" vertical="center" wrapText="1"/>
    </xf>
    <xf numFmtId="0" fontId="14" fillId="2" borderId="14" xfId="0" applyFont="1" applyFill="1" applyBorder="1" applyAlignment="1" applyProtection="1">
      <alignment horizontal="center" vertical="center" wrapText="1"/>
    </xf>
    <xf numFmtId="0" fontId="2" fillId="2" borderId="28" xfId="0" applyFont="1" applyFill="1" applyBorder="1" applyAlignment="1" applyProtection="1">
      <alignment horizontal="center" vertical="center"/>
    </xf>
    <xf numFmtId="0" fontId="2" fillId="2" borderId="29"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9" fillId="4" borderId="28" xfId="0" applyFont="1" applyFill="1" applyBorder="1" applyAlignment="1" applyProtection="1">
      <alignment horizontal="center" vertical="center" wrapText="1"/>
    </xf>
    <xf numFmtId="0" fontId="9" fillId="4" borderId="29" xfId="0" applyFont="1" applyFill="1" applyBorder="1" applyAlignment="1" applyProtection="1">
      <alignment horizontal="center" vertical="center" wrapText="1"/>
    </xf>
    <xf numFmtId="0" fontId="20" fillId="5" borderId="36" xfId="0" applyFont="1" applyFill="1" applyBorder="1" applyAlignment="1" applyProtection="1">
      <alignment horizontal="center" vertical="center" wrapText="1"/>
      <protection locked="0"/>
    </xf>
    <xf numFmtId="0" fontId="20" fillId="5" borderId="7" xfId="0" applyFont="1" applyFill="1" applyBorder="1" applyAlignment="1" applyProtection="1">
      <alignment horizontal="center" vertical="center" wrapText="1"/>
      <protection locked="0"/>
    </xf>
    <xf numFmtId="0" fontId="20" fillId="5" borderId="10" xfId="0" applyFont="1" applyFill="1" applyBorder="1" applyAlignment="1" applyProtection="1">
      <alignment horizontal="center" vertical="center" wrapText="1"/>
      <protection locked="0"/>
    </xf>
    <xf numFmtId="0" fontId="9" fillId="4" borderId="30" xfId="0" applyFont="1" applyFill="1" applyBorder="1" applyAlignment="1" applyProtection="1">
      <alignment horizontal="center" vertical="center" wrapText="1"/>
    </xf>
    <xf numFmtId="0" fontId="8" fillId="4" borderId="37" xfId="0" applyFont="1" applyFill="1" applyBorder="1" applyAlignment="1" applyProtection="1">
      <alignment horizontal="center" vertical="center" wrapText="1"/>
    </xf>
    <xf numFmtId="0" fontId="8" fillId="4" borderId="34" xfId="0" applyFont="1" applyFill="1" applyBorder="1" applyAlignment="1" applyProtection="1">
      <alignment horizontal="center" vertical="center" wrapText="1"/>
    </xf>
    <xf numFmtId="0" fontId="8" fillId="4" borderId="38" xfId="0" applyFont="1" applyFill="1" applyBorder="1" applyAlignment="1" applyProtection="1">
      <alignment horizontal="center" vertical="center" wrapText="1"/>
    </xf>
    <xf numFmtId="0" fontId="0" fillId="0" borderId="17"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0" fillId="0" borderId="23" xfId="0" applyBorder="1" applyAlignment="1" applyProtection="1">
      <alignment horizontal="left" vertical="center"/>
      <protection locked="0"/>
    </xf>
    <xf numFmtId="0" fontId="2" fillId="2" borderId="68" xfId="0" applyFont="1" applyFill="1" applyBorder="1" applyAlignment="1">
      <alignment horizontal="center" vertical="center"/>
    </xf>
    <xf numFmtId="0" fontId="2" fillId="2" borderId="43" xfId="0" applyFont="1" applyFill="1" applyBorder="1" applyAlignment="1">
      <alignment horizontal="center" vertical="center"/>
    </xf>
    <xf numFmtId="9" fontId="5" fillId="0" borderId="85" xfId="0" applyNumberFormat="1" applyFont="1" applyBorder="1" applyAlignment="1">
      <alignment horizontal="center" vertical="center"/>
    </xf>
    <xf numFmtId="9" fontId="5" fillId="0" borderId="86" xfId="0" applyNumberFormat="1" applyFont="1" applyBorder="1" applyAlignment="1">
      <alignment horizontal="center" vertical="center"/>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9" fontId="5" fillId="0" borderId="96" xfId="0" applyNumberFormat="1" applyFont="1" applyBorder="1" applyAlignment="1">
      <alignment horizontal="center" vertical="center"/>
    </xf>
    <xf numFmtId="9" fontId="5" fillId="0" borderId="29" xfId="0" applyNumberFormat="1" applyFont="1" applyBorder="1" applyAlignment="1">
      <alignment horizontal="center" vertical="center"/>
    </xf>
    <xf numFmtId="9" fontId="5" fillId="0" borderId="0" xfId="0" applyNumberFormat="1" applyFont="1" applyAlignment="1">
      <alignment horizontal="center" vertical="center"/>
    </xf>
    <xf numFmtId="9" fontId="5" fillId="0" borderId="0" xfId="0" applyNumberFormat="1" applyFont="1" applyBorder="1" applyAlignment="1">
      <alignment horizontal="center" vertical="center"/>
    </xf>
    <xf numFmtId="9" fontId="5" fillId="0" borderId="12" xfId="0" applyNumberFormat="1" applyFont="1" applyBorder="1" applyAlignment="1">
      <alignment horizontal="center" vertical="center"/>
    </xf>
    <xf numFmtId="9" fontId="5" fillId="0" borderId="29" xfId="0" applyNumberFormat="1" applyFont="1" applyBorder="1" applyAlignment="1">
      <alignment horizontal="center" vertical="center" wrapText="1"/>
    </xf>
    <xf numFmtId="0" fontId="2" fillId="2" borderId="36" xfId="0" applyFont="1" applyFill="1" applyBorder="1" applyAlignment="1">
      <alignment horizontal="center" vertical="top" wrapText="1"/>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6" fillId="2" borderId="44" xfId="0" applyFont="1" applyFill="1" applyBorder="1" applyAlignment="1">
      <alignment horizontal="center" vertical="top"/>
    </xf>
    <xf numFmtId="0" fontId="6" fillId="2" borderId="13" xfId="0" applyFont="1" applyFill="1" applyBorder="1" applyAlignment="1">
      <alignment horizontal="center" vertical="top"/>
    </xf>
    <xf numFmtId="0" fontId="30" fillId="8" borderId="97" xfId="0" applyFont="1" applyFill="1" applyBorder="1" applyAlignment="1">
      <alignment horizontal="left" vertical="top" wrapText="1"/>
    </xf>
    <xf numFmtId="0" fontId="0" fillId="8" borderId="98" xfId="0" applyFill="1" applyBorder="1" applyAlignment="1">
      <alignment horizontal="left" vertical="top" wrapText="1"/>
    </xf>
    <xf numFmtId="0" fontId="0" fillId="8" borderId="99" xfId="0" applyFill="1" applyBorder="1" applyAlignment="1">
      <alignment horizontal="left" vertical="top" wrapText="1"/>
    </xf>
    <xf numFmtId="0" fontId="0" fillId="8" borderId="100" xfId="0" applyFill="1" applyBorder="1" applyAlignment="1">
      <alignment horizontal="left" vertical="top" wrapText="1"/>
    </xf>
    <xf numFmtId="0" fontId="0" fillId="8" borderId="0" xfId="0" applyFill="1" applyBorder="1" applyAlignment="1">
      <alignment horizontal="left" vertical="top" wrapText="1"/>
    </xf>
    <xf numFmtId="0" fontId="0" fillId="8" borderId="16" xfId="0" applyFill="1" applyBorder="1" applyAlignment="1">
      <alignment horizontal="left" vertical="top" wrapText="1"/>
    </xf>
    <xf numFmtId="0" fontId="0" fillId="8" borderId="101" xfId="0" applyFill="1" applyBorder="1" applyAlignment="1">
      <alignment horizontal="left" vertical="top" wrapText="1"/>
    </xf>
    <xf numFmtId="0" fontId="0" fillId="8" borderId="102" xfId="0" applyFill="1" applyBorder="1" applyAlignment="1">
      <alignment horizontal="left" vertical="top" wrapText="1"/>
    </xf>
    <xf numFmtId="0" fontId="0" fillId="8" borderId="103" xfId="0" applyFill="1" applyBorder="1" applyAlignment="1">
      <alignment horizontal="left" vertical="top" wrapText="1"/>
    </xf>
    <xf numFmtId="0" fontId="0" fillId="8" borderId="20" xfId="0" applyFill="1" applyBorder="1" applyAlignment="1">
      <alignment horizontal="center" vertical="top"/>
    </xf>
  </cellXfs>
  <cellStyles count="2">
    <cellStyle name="20% - Accent3" xfId="1" builtinId="38"/>
    <cellStyle name="Normal" xfId="0" builtinId="0"/>
  </cellStyles>
  <dxfs count="144">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5"/>
  <sheetViews>
    <sheetView topLeftCell="A34" zoomScale="130" zoomScaleNormal="130" workbookViewId="0">
      <selection activeCell="G21" sqref="G21"/>
    </sheetView>
  </sheetViews>
  <sheetFormatPr defaultRowHeight="15" x14ac:dyDescent="0.25"/>
  <cols>
    <col min="1" max="1" width="0.5703125" customWidth="1"/>
    <col min="2" max="2" width="11.85546875" customWidth="1"/>
    <col min="3" max="3" width="29.5703125" customWidth="1"/>
    <col min="4" max="4" width="22.5703125" customWidth="1"/>
    <col min="5" max="5" width="11.85546875" customWidth="1"/>
    <col min="6" max="6" width="5.7109375" customWidth="1"/>
    <col min="7" max="7" width="17" customWidth="1"/>
    <col min="8" max="8" width="15.85546875" customWidth="1"/>
    <col min="10" max="10" width="17.140625" customWidth="1"/>
    <col min="11" max="11" width="16.140625" customWidth="1"/>
  </cols>
  <sheetData>
    <row r="1" spans="1:13" ht="3.75" customHeight="1" thickBot="1" x14ac:dyDescent="0.3">
      <c r="A1" s="1"/>
      <c r="B1" s="1"/>
      <c r="C1" s="1"/>
      <c r="D1" s="1"/>
      <c r="E1" s="1"/>
      <c r="F1" s="1"/>
      <c r="G1" s="1"/>
      <c r="H1" s="1"/>
      <c r="I1" s="1"/>
      <c r="J1" s="1"/>
      <c r="K1" s="1"/>
      <c r="L1" s="1"/>
      <c r="M1" s="1"/>
    </row>
    <row r="2" spans="1:13" ht="15.75" customHeight="1" x14ac:dyDescent="0.25">
      <c r="A2" s="1"/>
      <c r="B2" s="196" t="s">
        <v>109</v>
      </c>
      <c r="C2" s="197"/>
      <c r="D2" s="197"/>
      <c r="E2" s="197"/>
      <c r="F2" s="197"/>
      <c r="G2" s="197"/>
      <c r="H2" s="197"/>
    </row>
    <row r="3" spans="1:13" ht="15.75" customHeight="1" thickBot="1" x14ac:dyDescent="0.3">
      <c r="A3" s="1"/>
      <c r="B3" s="198"/>
      <c r="C3" s="199"/>
      <c r="D3" s="199"/>
      <c r="E3" s="199"/>
      <c r="F3" s="199"/>
      <c r="G3" s="199"/>
      <c r="H3" s="199"/>
    </row>
    <row r="4" spans="1:13" ht="15.75" thickBot="1" x14ac:dyDescent="0.3">
      <c r="A4" s="1"/>
      <c r="B4" s="1"/>
      <c r="C4" s="1"/>
      <c r="D4" s="1"/>
      <c r="E4" s="1"/>
      <c r="F4" s="1"/>
      <c r="G4" s="1"/>
      <c r="H4" s="1"/>
      <c r="I4" s="1"/>
      <c r="J4" s="1"/>
      <c r="K4" s="1"/>
      <c r="L4" s="1"/>
      <c r="M4" s="1"/>
    </row>
    <row r="5" spans="1:13" ht="15.75" customHeight="1" thickBot="1" x14ac:dyDescent="0.3">
      <c r="A5" s="1"/>
      <c r="B5" s="200" t="s">
        <v>2</v>
      </c>
      <c r="C5" s="201"/>
      <c r="D5" s="202"/>
      <c r="E5" s="203"/>
      <c r="F5" s="203"/>
      <c r="G5" s="203"/>
      <c r="H5" s="204"/>
    </row>
    <row r="6" spans="1:13" ht="15.75" customHeight="1" thickBot="1" x14ac:dyDescent="0.3">
      <c r="A6" s="1"/>
      <c r="B6" s="200" t="s">
        <v>110</v>
      </c>
      <c r="C6" s="201"/>
      <c r="D6" s="202"/>
      <c r="E6" s="203"/>
      <c r="F6" s="203"/>
      <c r="G6" s="203"/>
      <c r="H6" s="204"/>
    </row>
    <row r="7" spans="1:13" x14ac:dyDescent="0.25">
      <c r="A7" s="1"/>
      <c r="B7" s="1"/>
      <c r="C7" s="1"/>
      <c r="D7" s="1"/>
      <c r="E7" s="1"/>
      <c r="F7" s="1"/>
      <c r="G7" s="1"/>
      <c r="H7" s="1"/>
      <c r="I7" s="1"/>
      <c r="J7" s="1"/>
      <c r="K7" s="1"/>
      <c r="L7" s="1"/>
    </row>
    <row r="8" spans="1:13" ht="15.75" thickBot="1" x14ac:dyDescent="0.3">
      <c r="A8" s="1"/>
      <c r="B8" s="1"/>
      <c r="C8" s="1"/>
      <c r="D8" s="1"/>
      <c r="E8" s="1"/>
      <c r="F8" s="1"/>
      <c r="G8" s="1"/>
      <c r="H8" s="1"/>
      <c r="I8" s="1"/>
      <c r="J8" s="1"/>
      <c r="K8" s="1"/>
      <c r="L8" s="1"/>
    </row>
    <row r="9" spans="1:13" ht="15.75" customHeight="1" thickBot="1" x14ac:dyDescent="0.3">
      <c r="A9" s="1"/>
      <c r="B9" s="200" t="s">
        <v>3</v>
      </c>
      <c r="C9" s="201"/>
      <c r="D9" s="201"/>
      <c r="E9" s="201"/>
      <c r="F9" s="201"/>
      <c r="G9" s="201"/>
      <c r="H9" s="205"/>
      <c r="I9" s="1"/>
      <c r="J9" s="1"/>
    </row>
    <row r="10" spans="1:13" ht="15.75" customHeight="1" thickBot="1" x14ac:dyDescent="0.3">
      <c r="A10" s="1"/>
      <c r="B10" s="6" t="s">
        <v>4</v>
      </c>
      <c r="C10" s="8" t="s">
        <v>5</v>
      </c>
      <c r="D10" s="102" t="s">
        <v>6</v>
      </c>
      <c r="E10" s="103" t="s">
        <v>23</v>
      </c>
      <c r="F10" s="104"/>
      <c r="G10" s="103"/>
      <c r="H10" s="46" t="s">
        <v>22</v>
      </c>
      <c r="I10" s="1"/>
    </row>
    <row r="11" spans="1:13" x14ac:dyDescent="0.25">
      <c r="A11" s="1"/>
      <c r="B11" s="109"/>
      <c r="C11" s="110"/>
      <c r="D11" s="111"/>
      <c r="E11" s="112"/>
      <c r="F11" s="117"/>
      <c r="G11" s="118"/>
      <c r="H11" s="113"/>
      <c r="I11" s="1"/>
    </row>
    <row r="12" spans="1:13" x14ac:dyDescent="0.25">
      <c r="A12" s="1"/>
      <c r="B12" s="2"/>
      <c r="C12" s="3"/>
      <c r="D12" s="101"/>
      <c r="E12" s="105"/>
      <c r="F12" s="115"/>
      <c r="G12" s="116"/>
      <c r="H12" s="107"/>
      <c r="I12" s="1"/>
    </row>
    <row r="13" spans="1:13" ht="15.75" customHeight="1" x14ac:dyDescent="0.25">
      <c r="A13" s="1"/>
      <c r="B13" s="2"/>
      <c r="C13" s="3"/>
      <c r="D13" s="101"/>
      <c r="E13" s="105"/>
      <c r="F13" s="115"/>
      <c r="G13" s="116"/>
      <c r="H13" s="107"/>
      <c r="I13" s="1"/>
    </row>
    <row r="14" spans="1:13" ht="15.75" customHeight="1" x14ac:dyDescent="0.25">
      <c r="A14" s="1"/>
      <c r="B14" s="2"/>
      <c r="C14" s="3"/>
      <c r="D14" s="101"/>
      <c r="E14" s="114"/>
      <c r="F14" s="115"/>
      <c r="G14" s="116"/>
      <c r="H14" s="107"/>
      <c r="I14" s="1"/>
    </row>
    <row r="15" spans="1:13" ht="15.75" customHeight="1" thickBot="1" x14ac:dyDescent="0.3">
      <c r="A15" s="1"/>
      <c r="B15" s="4"/>
      <c r="C15" s="5"/>
      <c r="D15" s="100"/>
      <c r="E15" s="106"/>
      <c r="F15" s="119"/>
      <c r="G15" s="120"/>
      <c r="H15" s="108"/>
      <c r="I15" s="1"/>
    </row>
    <row r="16" spans="1:13" ht="15.75" customHeight="1" x14ac:dyDescent="0.25">
      <c r="A16" s="1"/>
      <c r="B16" s="1"/>
      <c r="C16" s="1"/>
      <c r="D16" s="1"/>
      <c r="E16" s="1"/>
      <c r="F16" s="1"/>
      <c r="I16" s="1"/>
    </row>
    <row r="17" spans="1:13" ht="15.75" customHeight="1" thickBot="1" x14ac:dyDescent="0.3">
      <c r="A17" s="1"/>
      <c r="I17" s="1"/>
    </row>
    <row r="18" spans="1:13" ht="15.75" customHeight="1" thickBot="1" x14ac:dyDescent="0.3">
      <c r="A18" s="1"/>
      <c r="B18" s="200" t="s">
        <v>125</v>
      </c>
      <c r="C18" s="201"/>
      <c r="D18" s="201"/>
      <c r="E18" s="205"/>
      <c r="F18" s="1"/>
      <c r="G18" s="200" t="s">
        <v>122</v>
      </c>
      <c r="H18" s="201"/>
      <c r="I18" s="1"/>
      <c r="J18" s="200" t="s">
        <v>122</v>
      </c>
      <c r="K18" s="201"/>
    </row>
    <row r="19" spans="1:13" ht="15.75" customHeight="1" thickBot="1" x14ac:dyDescent="0.3">
      <c r="A19" s="1"/>
      <c r="B19" s="206" t="s">
        <v>7</v>
      </c>
      <c r="C19" s="207"/>
      <c r="D19" s="208"/>
      <c r="E19" s="7" t="s">
        <v>0</v>
      </c>
      <c r="F19" s="1"/>
      <c r="G19" s="192" t="str" cm="1">
        <f t="array" ref="G19">GetRawLetter(GetRawNumber(H21) * 0.5 + GetRawNumber(H22) * 0.15  + GetRawNumber(H23) * 0.1 + GetRawNumber(H24)  *0.15 + GetRawNumber(H25) * 0.1 + H26 + H27+H28)</f>
        <v>B</v>
      </c>
      <c r="H19" s="193"/>
      <c r="I19" s="1"/>
      <c r="J19" s="192" t="str" cm="1">
        <f t="array" ref="J19">GetRawLetter(GetRawNumber(K21) * 0.5 + GetRawNumber(K22) * 0.15  + GetRawNumber(K23) * 0.1 + GetRawNumber(K24)  *0.15 + GetRawNumber(K25) * 0.1 + K26 + K27+K28)</f>
        <v>C+</v>
      </c>
      <c r="K19" s="193"/>
    </row>
    <row r="20" spans="1:13" ht="15.75" customHeight="1" thickBot="1" x14ac:dyDescent="0.3">
      <c r="A20" s="1"/>
      <c r="B20" s="209"/>
      <c r="C20" s="210"/>
      <c r="D20" s="211"/>
      <c r="E20" s="47"/>
      <c r="F20" s="1"/>
      <c r="G20" s="194"/>
      <c r="H20" s="195"/>
      <c r="I20" s="1"/>
      <c r="J20" s="194"/>
      <c r="K20" s="195"/>
    </row>
    <row r="21" spans="1:13" ht="15.75" thickBot="1" x14ac:dyDescent="0.3">
      <c r="A21" s="1"/>
      <c r="B21" s="186"/>
      <c r="C21" s="187"/>
      <c r="D21" s="188"/>
      <c r="E21" s="48">
        <v>0</v>
      </c>
      <c r="F21" s="1"/>
      <c r="G21" s="9" t="s">
        <v>10</v>
      </c>
      <c r="H21" s="51" t="str">
        <f>Technical!E9</f>
        <v>B-</v>
      </c>
      <c r="I21" s="1"/>
      <c r="J21" s="9" t="s">
        <v>10</v>
      </c>
      <c r="K21" s="51" t="s">
        <v>127</v>
      </c>
      <c r="L21" s="1"/>
    </row>
    <row r="22" spans="1:13" ht="15.75" thickBot="1" x14ac:dyDescent="0.3">
      <c r="A22" s="1"/>
      <c r="B22" s="186"/>
      <c r="C22" s="187"/>
      <c r="D22" s="188"/>
      <c r="E22" s="48">
        <v>0</v>
      </c>
      <c r="F22" s="1"/>
      <c r="G22" s="151" t="s">
        <v>108</v>
      </c>
      <c r="H22" s="52" t="str">
        <f>'User Acceptance'!E9</f>
        <v>B+</v>
      </c>
      <c r="I22" s="1"/>
      <c r="J22" s="151" t="s">
        <v>108</v>
      </c>
      <c r="K22" s="52" t="s">
        <v>127</v>
      </c>
      <c r="L22" s="1"/>
    </row>
    <row r="23" spans="1:13" ht="15.75" thickBot="1" x14ac:dyDescent="0.3">
      <c r="A23" s="1"/>
      <c r="B23" s="186"/>
      <c r="C23" s="187"/>
      <c r="D23" s="188"/>
      <c r="E23" s="48">
        <v>0</v>
      </c>
      <c r="F23" s="1"/>
      <c r="G23" s="10" t="s">
        <v>12</v>
      </c>
      <c r="H23" s="52" t="str">
        <f>Interactivity!E8</f>
        <v>A</v>
      </c>
      <c r="J23" s="10" t="s">
        <v>12</v>
      </c>
      <c r="K23" s="52" t="s">
        <v>127</v>
      </c>
      <c r="L23" s="1"/>
    </row>
    <row r="24" spans="1:13" ht="15.75" customHeight="1" thickBot="1" x14ac:dyDescent="0.3">
      <c r="A24" s="1"/>
      <c r="B24" s="189"/>
      <c r="C24" s="190"/>
      <c r="D24" s="191"/>
      <c r="E24" s="49">
        <v>0</v>
      </c>
      <c r="F24" s="1"/>
      <c r="G24" s="10" t="s">
        <v>24</v>
      </c>
      <c r="H24" s="52" t="str">
        <f>Feedback!E10</f>
        <v>A</v>
      </c>
      <c r="J24" s="10" t="s">
        <v>24</v>
      </c>
      <c r="K24" s="52" t="str">
        <f>Feedback!F10</f>
        <v>E</v>
      </c>
      <c r="L24" s="1"/>
    </row>
    <row r="25" spans="1:13" ht="15.75" thickBot="1" x14ac:dyDescent="0.3">
      <c r="A25" s="1"/>
      <c r="B25" s="13" t="s">
        <v>1</v>
      </c>
      <c r="C25" s="14"/>
      <c r="D25" s="14"/>
      <c r="E25" s="121">
        <f>SUM(E20:E24)</f>
        <v>0</v>
      </c>
      <c r="F25" s="1"/>
      <c r="G25" s="11" t="s">
        <v>13</v>
      </c>
      <c r="H25" s="53" t="str">
        <f>Appeal!E8</f>
        <v>A</v>
      </c>
      <c r="J25" s="11" t="s">
        <v>13</v>
      </c>
      <c r="K25" s="53" t="s">
        <v>127</v>
      </c>
      <c r="L25" s="1"/>
    </row>
    <row r="26" spans="1:13" ht="15.75" customHeight="1" thickBot="1" x14ac:dyDescent="0.3">
      <c r="A26" s="1"/>
      <c r="G26" s="12" t="s">
        <v>17</v>
      </c>
      <c r="H26" s="65">
        <f>TCR!E50</f>
        <v>0</v>
      </c>
      <c r="J26" s="12" t="s">
        <v>17</v>
      </c>
      <c r="K26" s="65">
        <f>TCR!F50</f>
        <v>-1</v>
      </c>
      <c r="M26" s="1"/>
    </row>
    <row r="27" spans="1:13" ht="15.75" customHeight="1" thickBot="1" x14ac:dyDescent="0.3">
      <c r="A27" s="1"/>
      <c r="B27" s="200" t="s">
        <v>126</v>
      </c>
      <c r="C27" s="201"/>
      <c r="D27" s="201"/>
      <c r="E27" s="205"/>
      <c r="G27" s="12" t="s">
        <v>18</v>
      </c>
      <c r="H27" s="54">
        <f>E25</f>
        <v>0</v>
      </c>
      <c r="J27" s="12" t="s">
        <v>18</v>
      </c>
      <c r="K27" s="54">
        <f>E34</f>
        <v>4</v>
      </c>
      <c r="M27" s="1"/>
    </row>
    <row r="28" spans="1:13" ht="15.75" customHeight="1" thickBot="1" x14ac:dyDescent="0.3">
      <c r="A28" s="1"/>
      <c r="B28" s="206" t="s">
        <v>7</v>
      </c>
      <c r="C28" s="207"/>
      <c r="D28" s="208"/>
      <c r="E28" s="7" t="s">
        <v>0</v>
      </c>
      <c r="G28" s="12" t="s">
        <v>14</v>
      </c>
      <c r="H28" s="54">
        <f>E45</f>
        <v>0</v>
      </c>
      <c r="J28" s="12" t="s">
        <v>14</v>
      </c>
      <c r="K28" s="54">
        <f>H45</f>
        <v>0</v>
      </c>
      <c r="M28" s="1"/>
    </row>
    <row r="29" spans="1:13" ht="15.75" customHeight="1" x14ac:dyDescent="0.25">
      <c r="A29" s="1"/>
      <c r="B29" s="209"/>
      <c r="C29" s="210"/>
      <c r="D29" s="211"/>
      <c r="E29" s="47"/>
      <c r="G29" s="1"/>
      <c r="H29" s="1"/>
      <c r="M29" s="1"/>
    </row>
    <row r="30" spans="1:13" ht="15.75" customHeight="1" x14ac:dyDescent="0.25">
      <c r="A30" s="1"/>
      <c r="B30" s="186"/>
      <c r="C30" s="187"/>
      <c r="D30" s="188"/>
      <c r="E30" s="48">
        <v>4</v>
      </c>
      <c r="G30" s="1"/>
      <c r="H30" s="1"/>
    </row>
    <row r="31" spans="1:13" ht="15.75" customHeight="1" x14ac:dyDescent="0.25">
      <c r="A31" s="1"/>
      <c r="B31" s="186"/>
      <c r="C31" s="187"/>
      <c r="D31" s="188"/>
      <c r="E31" s="48">
        <v>0</v>
      </c>
    </row>
    <row r="32" spans="1:13" x14ac:dyDescent="0.25">
      <c r="A32" s="1"/>
      <c r="B32" s="186"/>
      <c r="C32" s="187"/>
      <c r="D32" s="188"/>
      <c r="E32" s="48">
        <v>0</v>
      </c>
    </row>
    <row r="33" spans="1:8" ht="15.75" thickBot="1" x14ac:dyDescent="0.3">
      <c r="A33" s="1"/>
      <c r="B33" s="189"/>
      <c r="C33" s="190"/>
      <c r="D33" s="191"/>
      <c r="E33" s="49">
        <v>0</v>
      </c>
    </row>
    <row r="34" spans="1:8" ht="15.75" thickBot="1" x14ac:dyDescent="0.3">
      <c r="A34" s="1"/>
      <c r="B34" s="13" t="s">
        <v>1</v>
      </c>
      <c r="C34" s="14"/>
      <c r="D34" s="14"/>
      <c r="E34" s="121">
        <f>SUM(E29:E33)</f>
        <v>4</v>
      </c>
    </row>
    <row r="35" spans="1:8" ht="15.75" customHeight="1" x14ac:dyDescent="0.25">
      <c r="A35" s="1"/>
    </row>
    <row r="36" spans="1:8" ht="15.75" customHeight="1" x14ac:dyDescent="0.25">
      <c r="A36" s="1"/>
    </row>
    <row r="37" spans="1:8" ht="15.75" thickBot="1" x14ac:dyDescent="0.3">
      <c r="A37" s="1"/>
    </row>
    <row r="38" spans="1:8" ht="16.5" thickBot="1" x14ac:dyDescent="0.3">
      <c r="A38" s="1"/>
      <c r="B38" s="200" t="s">
        <v>29</v>
      </c>
      <c r="C38" s="201"/>
      <c r="D38" s="201"/>
      <c r="E38" s="205"/>
    </row>
    <row r="39" spans="1:8" ht="15.75" customHeight="1" thickBot="1" x14ac:dyDescent="0.3">
      <c r="A39" s="1"/>
      <c r="B39" s="206" t="s">
        <v>7</v>
      </c>
      <c r="C39" s="207"/>
      <c r="D39" s="208"/>
      <c r="E39" s="7" t="s">
        <v>0</v>
      </c>
    </row>
    <row r="40" spans="1:8" x14ac:dyDescent="0.25">
      <c r="A40" s="1"/>
      <c r="B40" s="209" t="s">
        <v>15</v>
      </c>
      <c r="C40" s="210"/>
      <c r="D40" s="211"/>
      <c r="E40" s="47">
        <v>0</v>
      </c>
    </row>
    <row r="41" spans="1:8" x14ac:dyDescent="0.25">
      <c r="A41" s="1"/>
      <c r="B41" s="186" t="s">
        <v>16</v>
      </c>
      <c r="C41" s="187"/>
      <c r="D41" s="188"/>
      <c r="E41" s="48">
        <v>0</v>
      </c>
    </row>
    <row r="42" spans="1:8" x14ac:dyDescent="0.25">
      <c r="A42" s="1"/>
      <c r="B42" s="186"/>
      <c r="C42" s="187"/>
      <c r="D42" s="188"/>
      <c r="E42" s="48">
        <v>0</v>
      </c>
      <c r="G42" s="1"/>
      <c r="H42" s="1"/>
    </row>
    <row r="43" spans="1:8" x14ac:dyDescent="0.25">
      <c r="A43" s="1"/>
      <c r="B43" s="186"/>
      <c r="C43" s="187"/>
      <c r="D43" s="188"/>
      <c r="E43" s="48">
        <v>0</v>
      </c>
      <c r="G43" s="1"/>
      <c r="H43" s="1"/>
    </row>
    <row r="44" spans="1:8" ht="15.75" thickBot="1" x14ac:dyDescent="0.3">
      <c r="A44" s="1"/>
      <c r="B44" s="186"/>
      <c r="C44" s="187"/>
      <c r="D44" s="188"/>
      <c r="E44" s="49">
        <v>0</v>
      </c>
      <c r="G44" s="1"/>
      <c r="H44" s="1"/>
    </row>
    <row r="45" spans="1:8" ht="15.75" thickBot="1" x14ac:dyDescent="0.3">
      <c r="A45" s="1"/>
      <c r="B45" s="13" t="s">
        <v>1</v>
      </c>
      <c r="C45" s="14"/>
      <c r="D45" s="14"/>
      <c r="E45" s="121">
        <f>SUM(E40:E44)</f>
        <v>0</v>
      </c>
      <c r="G45" s="1"/>
      <c r="H45" s="1"/>
    </row>
    <row r="46" spans="1:8" ht="15" customHeight="1" x14ac:dyDescent="0.25">
      <c r="A46" s="1"/>
      <c r="G46" s="1"/>
      <c r="H46" s="1"/>
    </row>
    <row r="47" spans="1:8" x14ac:dyDescent="0.25">
      <c r="A47" s="1"/>
      <c r="G47" s="1"/>
      <c r="H47" s="1"/>
    </row>
    <row r="48" spans="1:8" x14ac:dyDescent="0.25">
      <c r="A48" s="1"/>
      <c r="G48" s="1"/>
      <c r="H48" s="1"/>
    </row>
    <row r="49" spans="1:8" x14ac:dyDescent="0.25">
      <c r="A49" s="1"/>
      <c r="G49" s="1"/>
      <c r="H49" s="1"/>
    </row>
    <row r="50" spans="1:8" x14ac:dyDescent="0.25">
      <c r="A50" s="1"/>
      <c r="G50" s="1"/>
      <c r="H50" s="1"/>
    </row>
    <row r="51" spans="1:8" x14ac:dyDescent="0.25">
      <c r="A51" s="1"/>
      <c r="G51" s="1"/>
      <c r="H51" s="1"/>
    </row>
    <row r="52" spans="1:8" x14ac:dyDescent="0.25">
      <c r="A52" s="1"/>
      <c r="G52" s="1"/>
      <c r="H52" s="1"/>
    </row>
    <row r="53" spans="1:8" x14ac:dyDescent="0.25">
      <c r="A53" s="1"/>
      <c r="G53" s="1"/>
      <c r="H53" s="1"/>
    </row>
    <row r="54" spans="1:8" x14ac:dyDescent="0.25">
      <c r="A54" s="1"/>
      <c r="G54" s="1"/>
      <c r="H54" s="1"/>
    </row>
    <row r="55" spans="1:8" x14ac:dyDescent="0.25">
      <c r="A55" s="1"/>
      <c r="G55" s="1"/>
    </row>
  </sheetData>
  <sheetProtection selectLockedCells="1"/>
  <mergeCells count="31">
    <mergeCell ref="B44:D44"/>
    <mergeCell ref="B20:D20"/>
    <mergeCell ref="B21:D21"/>
    <mergeCell ref="B22:D22"/>
    <mergeCell ref="B23:D23"/>
    <mergeCell ref="B24:D24"/>
    <mergeCell ref="B40:D40"/>
    <mergeCell ref="B41:D41"/>
    <mergeCell ref="B42:D42"/>
    <mergeCell ref="B43:D43"/>
    <mergeCell ref="B38:E38"/>
    <mergeCell ref="B39:D39"/>
    <mergeCell ref="B27:E27"/>
    <mergeCell ref="B28:D28"/>
    <mergeCell ref="B29:D29"/>
    <mergeCell ref="B30:D30"/>
    <mergeCell ref="B31:D31"/>
    <mergeCell ref="B32:D32"/>
    <mergeCell ref="B33:D33"/>
    <mergeCell ref="J19:K20"/>
    <mergeCell ref="B2:H3"/>
    <mergeCell ref="G18:H18"/>
    <mergeCell ref="B5:C5"/>
    <mergeCell ref="B6:C6"/>
    <mergeCell ref="D5:H5"/>
    <mergeCell ref="D6:H6"/>
    <mergeCell ref="B9:H9"/>
    <mergeCell ref="B19:D19"/>
    <mergeCell ref="B18:E18"/>
    <mergeCell ref="G19:H20"/>
    <mergeCell ref="J18:K18"/>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35B2-F56C-49A6-927E-5072ED6E591C}">
  <sheetPr codeName="Sheet2"/>
  <dimension ref="B1:G11"/>
  <sheetViews>
    <sheetView zoomScale="85" zoomScaleNormal="85" workbookViewId="0">
      <selection activeCell="F9" sqref="F9"/>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x14ac:dyDescent="0.25">
      <c r="B1" s="15"/>
      <c r="C1" s="16"/>
      <c r="D1" s="212" t="s">
        <v>20</v>
      </c>
      <c r="E1" s="17"/>
      <c r="F1" s="17"/>
      <c r="G1" s="18"/>
    </row>
    <row r="2" spans="2:7" ht="24" thickBot="1" x14ac:dyDescent="0.3">
      <c r="B2" s="19">
        <v>0.5</v>
      </c>
      <c r="C2" s="20"/>
      <c r="D2" s="213"/>
      <c r="E2" s="21"/>
      <c r="F2" s="22"/>
      <c r="G2" s="23"/>
    </row>
    <row r="3" spans="2:7" ht="15.75" thickBot="1" x14ac:dyDescent="0.3">
      <c r="B3" s="78"/>
      <c r="C3" s="24"/>
      <c r="D3" s="25" t="s">
        <v>8</v>
      </c>
      <c r="E3" s="26" t="s">
        <v>116</v>
      </c>
      <c r="F3" s="25" t="s">
        <v>117</v>
      </c>
      <c r="G3" s="27" t="s">
        <v>11</v>
      </c>
    </row>
    <row r="4" spans="2:7" s="58" customFormat="1" ht="45" x14ac:dyDescent="0.25">
      <c r="B4" s="28">
        <v>0.5</v>
      </c>
      <c r="C4" s="214"/>
      <c r="D4" s="91" t="s">
        <v>67</v>
      </c>
      <c r="E4" s="92" t="s">
        <v>123</v>
      </c>
      <c r="F4" s="93" t="s">
        <v>120</v>
      </c>
      <c r="G4" s="31"/>
    </row>
    <row r="5" spans="2:7" s="58" customFormat="1" ht="30" x14ac:dyDescent="0.25">
      <c r="B5" s="74">
        <v>0.25</v>
      </c>
      <c r="C5" s="215"/>
      <c r="D5" s="81" t="s">
        <v>65</v>
      </c>
      <c r="E5" s="84" t="s">
        <v>123</v>
      </c>
      <c r="F5" s="82" t="s">
        <v>120</v>
      </c>
      <c r="G5" s="57"/>
    </row>
    <row r="6" spans="2:7" s="58" customFormat="1" ht="30.75" thickBot="1" x14ac:dyDescent="0.3">
      <c r="B6" s="36">
        <v>0.25</v>
      </c>
      <c r="C6" s="215"/>
      <c r="D6" s="96" t="s">
        <v>66</v>
      </c>
      <c r="E6" s="83" t="s">
        <v>123</v>
      </c>
      <c r="F6" s="97" t="s">
        <v>120</v>
      </c>
      <c r="G6" s="86"/>
    </row>
    <row r="7" spans="2:7" s="58" customFormat="1" ht="45.75" thickBot="1" x14ac:dyDescent="0.3">
      <c r="B7" s="145" t="s">
        <v>115</v>
      </c>
      <c r="C7" s="40" t="s">
        <v>64</v>
      </c>
      <c r="D7" s="98" t="s">
        <v>69</v>
      </c>
      <c r="E7" s="99">
        <v>2</v>
      </c>
      <c r="F7" s="87">
        <v>0</v>
      </c>
      <c r="G7" s="88"/>
    </row>
    <row r="8" spans="2:7" s="58" customFormat="1" ht="45.75" thickBot="1" x14ac:dyDescent="0.3">
      <c r="B8" s="146" t="s">
        <v>119</v>
      </c>
      <c r="C8" s="73" t="s">
        <v>63</v>
      </c>
      <c r="D8" s="79" t="s">
        <v>68</v>
      </c>
      <c r="E8" s="94">
        <v>0</v>
      </c>
      <c r="F8" s="95">
        <v>2</v>
      </c>
      <c r="G8" s="75"/>
    </row>
    <row r="9" spans="2:7" ht="16.5" thickTop="1" thickBot="1" x14ac:dyDescent="0.3">
      <c r="B9" s="56"/>
      <c r="C9" s="42"/>
      <c r="D9" s="77" t="s">
        <v>19</v>
      </c>
      <c r="E9" s="44" t="str" cm="1">
        <f t="array" ref="E9">GetRawLetter(GetRawNumber(E4) * 0.5 + GetRawNumber(E5) * 0.25 + GetRawNumber(E6) * 0.25+ E7- E8)</f>
        <v>B-</v>
      </c>
      <c r="F9" s="44" t="str" cm="1">
        <f t="array" ref="F9">GetRawLetter(GetRawNumber(F4) * 0.5 + GetRawNumber(F5) * 0.25 + GetRawNumber(F6) * 0.25+ F7- F8)</f>
        <v>F</v>
      </c>
      <c r="G9" s="45"/>
    </row>
    <row r="10" spans="2:7" x14ac:dyDescent="0.25">
      <c r="B10" s="58"/>
      <c r="C10" s="58"/>
      <c r="D10" s="58"/>
      <c r="E10" s="58"/>
      <c r="F10" s="58"/>
      <c r="G10" s="58"/>
    </row>
    <row r="11" spans="2:7" x14ac:dyDescent="0.25">
      <c r="B11" s="58"/>
      <c r="C11" s="58"/>
      <c r="D11" s="58"/>
      <c r="E11" s="58"/>
      <c r="F11" s="58"/>
      <c r="G11" s="58"/>
    </row>
  </sheetData>
  <sheetProtection selectLockedCells="1"/>
  <mergeCells count="2">
    <mergeCell ref="D1:D2"/>
    <mergeCell ref="C4:C6"/>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078E0-C178-45C3-9DE9-DCE815305968}">
  <sheetPr codeName="Sheet3"/>
  <dimension ref="B1:G11"/>
  <sheetViews>
    <sheetView zoomScale="115" zoomScaleNormal="115" workbookViewId="0">
      <selection activeCell="F11" sqref="F11"/>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5"/>
      <c r="C2" s="16"/>
      <c r="D2" s="216" t="s">
        <v>108</v>
      </c>
      <c r="E2" s="17"/>
      <c r="F2" s="17"/>
      <c r="G2" s="18"/>
    </row>
    <row r="3" spans="2:7" ht="15" customHeight="1" thickBot="1" x14ac:dyDescent="0.3">
      <c r="B3" s="19">
        <v>0.15</v>
      </c>
      <c r="C3" s="20"/>
      <c r="D3" s="217"/>
      <c r="E3" s="21"/>
      <c r="F3" s="22"/>
      <c r="G3" s="23"/>
    </row>
    <row r="4" spans="2:7" ht="15" customHeight="1" thickBot="1" x14ac:dyDescent="0.3">
      <c r="B4" s="24"/>
      <c r="C4" s="24"/>
      <c r="D4" s="25" t="s">
        <v>8</v>
      </c>
      <c r="E4" s="26" t="s">
        <v>116</v>
      </c>
      <c r="F4" s="25" t="s">
        <v>117</v>
      </c>
      <c r="G4" s="27" t="s">
        <v>11</v>
      </c>
    </row>
    <row r="5" spans="2:7" ht="30" x14ac:dyDescent="0.25">
      <c r="B5" s="28">
        <v>0.5</v>
      </c>
      <c r="C5" s="214"/>
      <c r="D5" s="29" t="s">
        <v>105</v>
      </c>
      <c r="E5" s="50" t="s">
        <v>118</v>
      </c>
      <c r="F5" s="30" t="s">
        <v>120</v>
      </c>
      <c r="G5" s="31"/>
    </row>
    <row r="6" spans="2:7" ht="30" x14ac:dyDescent="0.25">
      <c r="B6" s="32">
        <v>0.25</v>
      </c>
      <c r="C6" s="215"/>
      <c r="D6" s="33" t="s">
        <v>107</v>
      </c>
      <c r="E6" s="55" t="s">
        <v>118</v>
      </c>
      <c r="F6" s="34" t="s">
        <v>120</v>
      </c>
      <c r="G6" s="35"/>
    </row>
    <row r="7" spans="2:7" ht="30" x14ac:dyDescent="0.25">
      <c r="B7" s="36">
        <v>0.25</v>
      </c>
      <c r="C7" s="218"/>
      <c r="D7" s="37" t="s">
        <v>106</v>
      </c>
      <c r="E7" s="76" t="s">
        <v>118</v>
      </c>
      <c r="F7" s="85" t="s">
        <v>120</v>
      </c>
      <c r="G7" s="86"/>
    </row>
    <row r="8" spans="2:7" s="142" customFormat="1" ht="45" x14ac:dyDescent="0.25">
      <c r="B8" s="147" t="s">
        <v>119</v>
      </c>
      <c r="C8" s="140" t="s">
        <v>63</v>
      </c>
      <c r="D8" s="137" t="s">
        <v>27</v>
      </c>
      <c r="E8" s="141">
        <v>2</v>
      </c>
      <c r="F8" s="138">
        <v>2</v>
      </c>
      <c r="G8" s="139"/>
    </row>
    <row r="9" spans="2:7" ht="15" customHeight="1" thickBot="1" x14ac:dyDescent="0.3">
      <c r="B9" s="41"/>
      <c r="C9" s="42"/>
      <c r="D9" s="43" t="s">
        <v>19</v>
      </c>
      <c r="E9" s="62" t="str" cm="1">
        <f t="array" ref="E9">GetRawLetter(GetRawNumber(E5) * 0.5 + GetRawNumber(E6) * 0.25 + GetRawNumber(E7) * 0.25 - E8 )</f>
        <v>B+</v>
      </c>
      <c r="F9" s="62" t="str" cm="1">
        <f t="array" ref="F9">GetRawLetter(GetRawNumber(F5) * 0.5 + GetRawNumber(F6) * 0.25 + GetRawNumber(F7) * 0.25 - F8 )</f>
        <v>F</v>
      </c>
      <c r="G9" s="64"/>
    </row>
    <row r="10" spans="2:7" ht="15" customHeight="1" x14ac:dyDescent="0.25"/>
    <row r="11" spans="2:7" ht="15" customHeight="1" x14ac:dyDescent="0.25"/>
  </sheetData>
  <sheetProtection selectLockedCells="1"/>
  <mergeCells count="2">
    <mergeCell ref="D2:D3"/>
    <mergeCell ref="C5:C7"/>
  </mergeCells>
  <pageMargins left="0.7" right="0.7" top="0.75" bottom="0.75" header="0.3" footer="0.3"/>
  <pageSetup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7E909-C15F-4819-A794-FB0B590B0FFE}">
  <sheetPr codeName="Sheet4"/>
  <dimension ref="B1:G10"/>
  <sheetViews>
    <sheetView zoomScale="90" zoomScaleNormal="175" workbookViewId="0">
      <selection activeCell="E8" sqref="E8"/>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5"/>
      <c r="C2" s="16"/>
      <c r="D2" s="216" t="s">
        <v>12</v>
      </c>
      <c r="E2" s="17"/>
      <c r="F2" s="17"/>
      <c r="G2" s="18"/>
    </row>
    <row r="3" spans="2:7" ht="15" customHeight="1" thickBot="1" x14ac:dyDescent="0.3">
      <c r="B3" s="19">
        <v>0.1</v>
      </c>
      <c r="C3" s="20"/>
      <c r="D3" s="217"/>
      <c r="E3" s="21"/>
      <c r="F3" s="22"/>
      <c r="G3" s="23"/>
    </row>
    <row r="4" spans="2:7" ht="15" customHeight="1" thickBot="1" x14ac:dyDescent="0.3">
      <c r="B4" s="24"/>
      <c r="C4" s="24"/>
      <c r="D4" s="25" t="s">
        <v>8</v>
      </c>
      <c r="E4" s="26" t="s">
        <v>116</v>
      </c>
      <c r="F4" s="25" t="s">
        <v>117</v>
      </c>
      <c r="G4" s="27" t="s">
        <v>11</v>
      </c>
    </row>
    <row r="5" spans="2:7" ht="30" x14ac:dyDescent="0.25">
      <c r="B5" s="28">
        <v>0.5</v>
      </c>
      <c r="C5" s="219"/>
      <c r="D5" s="29" t="s">
        <v>28</v>
      </c>
      <c r="E5" s="50" t="s">
        <v>118</v>
      </c>
      <c r="F5" s="30" t="s">
        <v>120</v>
      </c>
      <c r="G5" s="31"/>
    </row>
    <row r="6" spans="2:7" ht="30" x14ac:dyDescent="0.25">
      <c r="B6" s="32">
        <v>0.25</v>
      </c>
      <c r="C6" s="220"/>
      <c r="D6" s="33" t="s">
        <v>114</v>
      </c>
      <c r="E6" s="55" t="s">
        <v>118</v>
      </c>
      <c r="F6" s="34" t="s">
        <v>120</v>
      </c>
      <c r="G6" s="35"/>
    </row>
    <row r="7" spans="2:7" ht="30.75" thickBot="1" x14ac:dyDescent="0.3">
      <c r="B7" s="32">
        <v>0.25</v>
      </c>
      <c r="C7" s="220"/>
      <c r="D7" s="33" t="s">
        <v>112</v>
      </c>
      <c r="E7" s="55" t="s">
        <v>118</v>
      </c>
      <c r="F7" s="34" t="s">
        <v>120</v>
      </c>
      <c r="G7" s="35"/>
    </row>
    <row r="8" spans="2:7" ht="15" customHeight="1" thickBot="1" x14ac:dyDescent="0.3">
      <c r="B8" s="41"/>
      <c r="C8" s="42"/>
      <c r="D8" s="43" t="s">
        <v>19</v>
      </c>
      <c r="E8" s="44" t="str" cm="1">
        <f t="array" ref="E8">GetRawLetter(GetRawNumber(E5) * 0.5 + GetRawNumber(E6) * 0.25 + GetRawNumber(E7) * 0.25)</f>
        <v>A</v>
      </c>
      <c r="F8" s="44" t="str" cm="1">
        <f t="array" ref="F8">GetRawLetter(GetRawNumber(F5) * 0.5 + GetRawNumber(F6) * 0.25 + GetRawNumber(F7) * 0.25)</f>
        <v>F</v>
      </c>
      <c r="G8" s="45"/>
    </row>
    <row r="9" spans="2:7" ht="15" customHeight="1" x14ac:dyDescent="0.25"/>
    <row r="10" spans="2:7" ht="15" customHeight="1" x14ac:dyDescent="0.25"/>
  </sheetData>
  <sheetProtection selectLockedCells="1"/>
  <mergeCells count="2">
    <mergeCell ref="D2:D3"/>
    <mergeCell ref="C5:C7"/>
  </mergeCells>
  <pageMargins left="0.7" right="0.7" top="0.75" bottom="0.75" header="0.3" footer="0.3"/>
  <pageSetup orientation="portrait" horizont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66649-3558-4470-B20D-966F7B903A0A}">
  <sheetPr codeName="Sheet5"/>
  <dimension ref="B1:G12"/>
  <sheetViews>
    <sheetView zoomScale="114" zoomScaleNormal="175" workbookViewId="0">
      <selection activeCell="F10" sqref="F10"/>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5"/>
      <c r="C2" s="16"/>
      <c r="D2" s="216" t="s">
        <v>21</v>
      </c>
      <c r="E2" s="17"/>
      <c r="F2" s="17"/>
      <c r="G2" s="18"/>
    </row>
    <row r="3" spans="2:7" ht="15" customHeight="1" thickBot="1" x14ac:dyDescent="0.3">
      <c r="B3" s="19">
        <v>0.15</v>
      </c>
      <c r="C3" s="20"/>
      <c r="D3" s="217"/>
      <c r="E3" s="21"/>
      <c r="F3" s="22"/>
      <c r="G3" s="23"/>
    </row>
    <row r="4" spans="2:7" ht="15" customHeight="1" thickBot="1" x14ac:dyDescent="0.3">
      <c r="B4" s="24"/>
      <c r="C4" s="24"/>
      <c r="D4" s="25" t="s">
        <v>8</v>
      </c>
      <c r="E4" s="26" t="s">
        <v>116</v>
      </c>
      <c r="F4" s="25" t="s">
        <v>117</v>
      </c>
      <c r="G4" s="27" t="s">
        <v>11</v>
      </c>
    </row>
    <row r="5" spans="2:7" ht="30" x14ac:dyDescent="0.25">
      <c r="B5" s="28">
        <v>0.5</v>
      </c>
      <c r="C5" s="219"/>
      <c r="D5" s="29" t="s">
        <v>32</v>
      </c>
      <c r="E5" s="50" t="s">
        <v>118</v>
      </c>
      <c r="F5" s="30" t="s">
        <v>120</v>
      </c>
      <c r="G5" s="31"/>
    </row>
    <row r="6" spans="2:7" ht="30" x14ac:dyDescent="0.25">
      <c r="B6" s="32">
        <v>0.15</v>
      </c>
      <c r="C6" s="220"/>
      <c r="D6" s="33" t="s">
        <v>30</v>
      </c>
      <c r="E6" s="55" t="s">
        <v>118</v>
      </c>
      <c r="F6" s="34" t="s">
        <v>120</v>
      </c>
      <c r="G6" s="35"/>
    </row>
    <row r="7" spans="2:7" ht="30" x14ac:dyDescent="0.25">
      <c r="B7" s="32">
        <v>0.15</v>
      </c>
      <c r="C7" s="220"/>
      <c r="D7" s="33" t="s">
        <v>33</v>
      </c>
      <c r="E7" s="55" t="s">
        <v>118</v>
      </c>
      <c r="F7" s="34" t="s">
        <v>120</v>
      </c>
      <c r="G7" s="35"/>
    </row>
    <row r="8" spans="2:7" ht="30" x14ac:dyDescent="0.25">
      <c r="B8" s="32">
        <v>0.15</v>
      </c>
      <c r="C8" s="220"/>
      <c r="D8" s="33" t="s">
        <v>103</v>
      </c>
      <c r="E8" s="55" t="s">
        <v>118</v>
      </c>
      <c r="F8" s="34" t="s">
        <v>120</v>
      </c>
      <c r="G8" s="35"/>
    </row>
    <row r="9" spans="2:7" ht="30.75" thickBot="1" x14ac:dyDescent="0.3">
      <c r="B9" s="36">
        <v>0.05</v>
      </c>
      <c r="C9" s="220"/>
      <c r="D9" s="37" t="s">
        <v>70</v>
      </c>
      <c r="E9" s="55" t="s">
        <v>118</v>
      </c>
      <c r="F9" s="38" t="s">
        <v>118</v>
      </c>
      <c r="G9" s="39"/>
    </row>
    <row r="10" spans="2:7" ht="15" customHeight="1" thickBot="1" x14ac:dyDescent="0.3">
      <c r="B10" s="41"/>
      <c r="C10" s="42"/>
      <c r="D10" s="43" t="s">
        <v>19</v>
      </c>
      <c r="E10" s="44" t="str" cm="1">
        <f t="array" ref="E10">GetRawLetter(GetRawNumber(E5) * 0.5 + GetRawNumber(E6) * 0.15 + GetRawNumber(E7) * 0.15 + GetRawNumber(E8) * 0.15 + GetRawNumber(E9) * 0.15)</f>
        <v>A</v>
      </c>
      <c r="F10" s="44" t="str" cm="1">
        <f t="array" ref="F10">GetRawLetter(GetRawNumber(F5) * 0.5 + GetRawNumber(F6) * 0.15 + GetRawNumber(F7) * 0.15 + GetRawNumber(F8) * 0.15 + GetRawNumber(F9) * 0.15)</f>
        <v>E</v>
      </c>
      <c r="G10" s="45"/>
    </row>
    <row r="11" spans="2:7" ht="15" customHeight="1" x14ac:dyDescent="0.25"/>
    <row r="12" spans="2:7" ht="15" customHeight="1" x14ac:dyDescent="0.25"/>
  </sheetData>
  <sheetProtection selectLockedCells="1"/>
  <mergeCells count="2">
    <mergeCell ref="D2:D3"/>
    <mergeCell ref="C5:C9"/>
  </mergeCells>
  <pageMargins left="0.7" right="0.7" top="0.75" bottom="0.75" header="0.3" footer="0.3"/>
  <pageSetup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E5481-3B2F-413D-8964-4A34F06F42B7}">
  <sheetPr codeName="Sheet6"/>
  <dimension ref="B1:G10"/>
  <sheetViews>
    <sheetView zoomScale="145" zoomScaleNormal="145" workbookViewId="0">
      <selection activeCell="E8" sqref="E8"/>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5"/>
      <c r="C2" s="16"/>
      <c r="D2" s="216" t="s">
        <v>13</v>
      </c>
      <c r="E2" s="17"/>
      <c r="F2" s="17"/>
      <c r="G2" s="18"/>
    </row>
    <row r="3" spans="2:7" ht="15" customHeight="1" thickBot="1" x14ac:dyDescent="0.3">
      <c r="B3" s="19">
        <v>0.1</v>
      </c>
      <c r="C3" s="20"/>
      <c r="D3" s="217"/>
      <c r="E3" s="21"/>
      <c r="F3" s="22"/>
      <c r="G3" s="23"/>
    </row>
    <row r="4" spans="2:7" ht="15" customHeight="1" thickBot="1" x14ac:dyDescent="0.3">
      <c r="B4" s="24"/>
      <c r="C4" s="24"/>
      <c r="D4" s="25" t="s">
        <v>8</v>
      </c>
      <c r="E4" s="26" t="s">
        <v>116</v>
      </c>
      <c r="F4" s="25" t="s">
        <v>117</v>
      </c>
      <c r="G4" s="27" t="s">
        <v>11</v>
      </c>
    </row>
    <row r="5" spans="2:7" ht="30" x14ac:dyDescent="0.25">
      <c r="B5" s="28">
        <v>0.4</v>
      </c>
      <c r="C5" s="219"/>
      <c r="D5" s="29" t="s">
        <v>25</v>
      </c>
      <c r="E5" s="50" t="s">
        <v>118</v>
      </c>
      <c r="F5" s="30" t="s">
        <v>120</v>
      </c>
      <c r="G5" s="31"/>
    </row>
    <row r="6" spans="2:7" ht="30" x14ac:dyDescent="0.25">
      <c r="B6" s="32">
        <v>0.4</v>
      </c>
      <c r="C6" s="221"/>
      <c r="D6" s="33" t="s">
        <v>26</v>
      </c>
      <c r="E6" s="55" t="s">
        <v>118</v>
      </c>
      <c r="F6" s="34" t="s">
        <v>120</v>
      </c>
      <c r="G6" s="35"/>
    </row>
    <row r="7" spans="2:7" ht="30.75" thickBot="1" x14ac:dyDescent="0.3">
      <c r="B7" s="89">
        <v>0.2</v>
      </c>
      <c r="C7" s="222"/>
      <c r="D7" s="90" t="s">
        <v>31</v>
      </c>
      <c r="E7" s="80" t="s">
        <v>118</v>
      </c>
      <c r="F7" s="38" t="s">
        <v>120</v>
      </c>
      <c r="G7" s="39"/>
    </row>
    <row r="8" spans="2:7" ht="15" customHeight="1" thickBot="1" x14ac:dyDescent="0.3">
      <c r="B8" s="41"/>
      <c r="C8" s="42"/>
      <c r="D8" s="43" t="s">
        <v>19</v>
      </c>
      <c r="E8" s="62" t="str" cm="1">
        <f t="array" ref="E8">GetRawLetter(GetRawNumber(E5) * 0.4 + GetRawNumber( E6 ) *0.4 + GetRawNumber(E7) * 0.2)</f>
        <v>A</v>
      </c>
      <c r="F8" s="62" t="str" cm="1">
        <f t="array" ref="F8">GetRawLetter(GetRawNumber(F5) * 0.4 + GetRawNumber( F6 ) *0.4 + GetRawNumber(F7) * 0.2)</f>
        <v>F</v>
      </c>
      <c r="G8" s="64"/>
    </row>
    <row r="9" spans="2:7" ht="15" customHeight="1" x14ac:dyDescent="0.25"/>
    <row r="10" spans="2:7" ht="15" customHeight="1" x14ac:dyDescent="0.25"/>
  </sheetData>
  <sheetProtection selectLockedCells="1"/>
  <mergeCells count="2">
    <mergeCell ref="D2:D3"/>
    <mergeCell ref="C5:C7"/>
  </mergeCells>
  <pageMargins left="0.7" right="0.7" top="0.75" bottom="0.75" header="0.3" footer="0.3"/>
  <pageSetup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150E6-8B0D-4DA1-BBA8-BC8B07C92BBE}">
  <sheetPr codeName="Sheet7"/>
  <dimension ref="B1:I51"/>
  <sheetViews>
    <sheetView zoomScale="105" zoomScaleNormal="130" workbookViewId="0">
      <selection activeCell="G5" sqref="G5"/>
    </sheetView>
  </sheetViews>
  <sheetFormatPr defaultRowHeight="15" x14ac:dyDescent="0.25"/>
  <cols>
    <col min="1" max="1" width="0.5703125" customWidth="1"/>
    <col min="2" max="2" width="9" bestFit="1" customWidth="1"/>
    <col min="3" max="3" width="15.28515625" bestFit="1" customWidth="1"/>
    <col min="4" max="4" width="70.5703125" customWidth="1"/>
    <col min="5" max="5" width="14.28515625" customWidth="1"/>
    <col min="6" max="6" width="14.28515625" style="58" customWidth="1"/>
    <col min="7" max="7" width="17.28515625" style="58" customWidth="1"/>
    <col min="8" max="8" width="9.42578125" hidden="1" customWidth="1"/>
    <col min="9" max="9" width="91" customWidth="1"/>
  </cols>
  <sheetData>
    <row r="1" spans="2:9" ht="3.75" customHeight="1" thickBot="1" x14ac:dyDescent="0.3"/>
    <row r="2" spans="2:9" ht="15" customHeight="1" x14ac:dyDescent="0.25">
      <c r="B2" s="15"/>
      <c r="C2" s="16"/>
      <c r="D2" s="216" t="s">
        <v>182</v>
      </c>
      <c r="E2" s="17"/>
      <c r="F2" s="17"/>
      <c r="G2" s="17"/>
      <c r="H2" s="17"/>
      <c r="I2" s="18"/>
    </row>
    <row r="3" spans="2:9" ht="15" customHeight="1" thickBot="1" x14ac:dyDescent="0.3">
      <c r="B3" s="19"/>
      <c r="C3" s="20"/>
      <c r="D3" s="217"/>
      <c r="E3" s="21"/>
      <c r="F3" s="21"/>
      <c r="G3" s="21"/>
      <c r="H3" s="22"/>
      <c r="I3" s="23"/>
    </row>
    <row r="4" spans="2:9" ht="15" customHeight="1" thickBot="1" x14ac:dyDescent="0.3">
      <c r="B4" s="24"/>
      <c r="C4" s="24"/>
      <c r="D4" s="25" t="s">
        <v>8</v>
      </c>
      <c r="E4" s="26" t="s">
        <v>116</v>
      </c>
      <c r="F4" s="26" t="s">
        <v>117</v>
      </c>
      <c r="G4" s="26" t="s">
        <v>62</v>
      </c>
      <c r="H4" s="25" t="s">
        <v>9</v>
      </c>
      <c r="I4" s="27" t="s">
        <v>11</v>
      </c>
    </row>
    <row r="5" spans="2:9" ht="15.75" thickBot="1" x14ac:dyDescent="0.3">
      <c r="B5" s="152">
        <v>-2</v>
      </c>
      <c r="C5" s="219" t="s">
        <v>98</v>
      </c>
      <c r="D5" s="127" t="s">
        <v>35</v>
      </c>
      <c r="E5" s="128">
        <v>0</v>
      </c>
      <c r="F5" s="128">
        <v>-2</v>
      </c>
      <c r="G5" s="68" t="s">
        <v>45</v>
      </c>
      <c r="H5" s="129">
        <f>VLOOKUP(G5,'TCR Values'!$B$2:$C$5,2, FALSE)</f>
        <v>100</v>
      </c>
      <c r="I5" s="130"/>
    </row>
    <row r="6" spans="2:9" ht="15.75" thickBot="1" x14ac:dyDescent="0.3">
      <c r="B6" s="152">
        <v>-2</v>
      </c>
      <c r="C6" s="221"/>
      <c r="D6" s="122" t="s">
        <v>36</v>
      </c>
      <c r="E6" s="123">
        <v>0</v>
      </c>
      <c r="F6" s="123">
        <v>-2</v>
      </c>
      <c r="G6" s="126" t="s">
        <v>45</v>
      </c>
      <c r="H6" s="124">
        <f>VLOOKUP(G6,'TCR Values'!$B$2:$C$5,2, FALSE)</f>
        <v>100</v>
      </c>
      <c r="I6" s="75"/>
    </row>
    <row r="7" spans="2:9" ht="15.75" thickBot="1" x14ac:dyDescent="0.3">
      <c r="B7" s="152">
        <v>-2</v>
      </c>
      <c r="C7" s="221"/>
      <c r="D7" s="122" t="s">
        <v>71</v>
      </c>
      <c r="E7" s="123">
        <v>0</v>
      </c>
      <c r="F7" s="123">
        <v>-2</v>
      </c>
      <c r="G7" s="126" t="s">
        <v>45</v>
      </c>
      <c r="H7" s="124">
        <f>VLOOKUP(G7,'TCR Values'!$B$2:$C$5,2, FALSE)</f>
        <v>100</v>
      </c>
      <c r="I7" s="75"/>
    </row>
    <row r="8" spans="2:9" ht="15.75" thickBot="1" x14ac:dyDescent="0.3">
      <c r="B8" s="152">
        <v>-2</v>
      </c>
      <c r="C8" s="221"/>
      <c r="D8" s="122" t="s">
        <v>72</v>
      </c>
      <c r="E8" s="123">
        <v>0</v>
      </c>
      <c r="F8" s="123">
        <v>-2</v>
      </c>
      <c r="G8" s="126" t="s">
        <v>45</v>
      </c>
      <c r="H8" s="124">
        <f>VLOOKUP(G8,'TCR Values'!$B$2:$C$5,2, FALSE)</f>
        <v>100</v>
      </c>
      <c r="I8" s="75"/>
    </row>
    <row r="9" spans="2:9" ht="15.75" thickBot="1" x14ac:dyDescent="0.3">
      <c r="B9" s="152">
        <v>-2</v>
      </c>
      <c r="C9" s="222"/>
      <c r="D9" s="131" t="s">
        <v>73</v>
      </c>
      <c r="E9" s="123">
        <v>0</v>
      </c>
      <c r="F9" s="123"/>
      <c r="G9" s="133" t="s">
        <v>45</v>
      </c>
      <c r="H9" s="134">
        <f>VLOOKUP(G9,'TCR Values'!$B$2:$C$5,2, FALSE)</f>
        <v>100</v>
      </c>
      <c r="I9" s="135"/>
    </row>
    <row r="10" spans="2:9" ht="15.75" thickBot="1" x14ac:dyDescent="0.3">
      <c r="B10" s="152">
        <v>-2</v>
      </c>
      <c r="C10" s="219" t="s">
        <v>34</v>
      </c>
      <c r="D10" s="127" t="s">
        <v>74</v>
      </c>
      <c r="E10" s="123">
        <v>0</v>
      </c>
      <c r="F10" s="123"/>
      <c r="G10" s="136" t="s">
        <v>45</v>
      </c>
      <c r="H10" s="129">
        <f>VLOOKUP(G10,'TCR Values'!$B$2:$C$5,2, FALSE)</f>
        <v>100</v>
      </c>
      <c r="I10" s="130"/>
    </row>
    <row r="11" spans="2:9" ht="15.75" thickBot="1" x14ac:dyDescent="0.3">
      <c r="B11" s="152">
        <v>-2</v>
      </c>
      <c r="C11" s="221"/>
      <c r="D11" s="122" t="s">
        <v>75</v>
      </c>
      <c r="E11" s="123">
        <v>0</v>
      </c>
      <c r="F11" s="123"/>
      <c r="G11" s="126" t="s">
        <v>45</v>
      </c>
      <c r="H11" s="124">
        <f>VLOOKUP(G11,'TCR Values'!$B$2:$C$5,2, FALSE)</f>
        <v>100</v>
      </c>
      <c r="I11" s="75"/>
    </row>
    <row r="12" spans="2:9" ht="15.75" thickBot="1" x14ac:dyDescent="0.3">
      <c r="B12" s="152">
        <v>-2</v>
      </c>
      <c r="C12" s="221"/>
      <c r="D12" s="122" t="s">
        <v>55</v>
      </c>
      <c r="E12" s="123">
        <v>0</v>
      </c>
      <c r="F12" s="123"/>
      <c r="G12" s="126" t="s">
        <v>45</v>
      </c>
      <c r="H12" s="124">
        <f>VLOOKUP(G12,'TCR Values'!$B$2:$C$5,2, FALSE)</f>
        <v>100</v>
      </c>
      <c r="I12" s="75"/>
    </row>
    <row r="13" spans="2:9" ht="15.75" thickBot="1" x14ac:dyDescent="0.3">
      <c r="B13" s="152">
        <v>-2</v>
      </c>
      <c r="C13" s="221"/>
      <c r="D13" s="122" t="s">
        <v>111</v>
      </c>
      <c r="E13" s="123">
        <v>0</v>
      </c>
      <c r="F13" s="123"/>
      <c r="G13" s="126" t="s">
        <v>45</v>
      </c>
      <c r="H13" s="124">
        <f>VLOOKUP(G13,'TCR Values'!$B$2:$C$5,2, FALSE)</f>
        <v>100</v>
      </c>
      <c r="I13" s="75"/>
    </row>
    <row r="14" spans="2:9" s="58" customFormat="1" ht="15.75" thickBot="1" x14ac:dyDescent="0.3">
      <c r="B14" s="152">
        <v>-2</v>
      </c>
      <c r="C14" s="221"/>
      <c r="D14" s="122" t="s">
        <v>37</v>
      </c>
      <c r="E14" s="123">
        <v>0</v>
      </c>
      <c r="F14" s="123"/>
      <c r="G14" s="126" t="s">
        <v>45</v>
      </c>
      <c r="H14" s="124">
        <f>VLOOKUP(G14,'TCR Values'!$B$2:$C$5,2, FALSE)</f>
        <v>100</v>
      </c>
      <c r="I14" s="75"/>
    </row>
    <row r="15" spans="2:9" s="58" customFormat="1" ht="15.75" thickBot="1" x14ac:dyDescent="0.3">
      <c r="B15" s="152">
        <v>-2</v>
      </c>
      <c r="C15" s="221"/>
      <c r="D15" s="122" t="s">
        <v>76</v>
      </c>
      <c r="E15" s="123">
        <v>0</v>
      </c>
      <c r="F15" s="123"/>
      <c r="G15" s="126" t="s">
        <v>45</v>
      </c>
      <c r="H15" s="124">
        <f>VLOOKUP(G15,'TCR Values'!$B$2:$C$5,2, FALSE)</f>
        <v>100</v>
      </c>
      <c r="I15" s="75"/>
    </row>
    <row r="16" spans="2:9" ht="15.75" thickBot="1" x14ac:dyDescent="0.3">
      <c r="B16" s="152">
        <v>-2</v>
      </c>
      <c r="C16" s="221"/>
      <c r="D16" s="122" t="s">
        <v>38</v>
      </c>
      <c r="E16" s="123">
        <v>0</v>
      </c>
      <c r="F16" s="123"/>
      <c r="G16" s="126" t="s">
        <v>45</v>
      </c>
      <c r="H16" s="124">
        <f>VLOOKUP(G16,'TCR Values'!$B$2:$C$5,2, FALSE)</f>
        <v>100</v>
      </c>
      <c r="I16" s="75"/>
    </row>
    <row r="17" spans="2:9" s="58" customFormat="1" ht="15.75" thickBot="1" x14ac:dyDescent="0.3">
      <c r="B17" s="152">
        <v>-2</v>
      </c>
      <c r="C17" s="221"/>
      <c r="D17" s="122" t="s">
        <v>47</v>
      </c>
      <c r="E17" s="123">
        <v>0</v>
      </c>
      <c r="F17" s="123"/>
      <c r="G17" s="126" t="s">
        <v>45</v>
      </c>
      <c r="H17" s="124">
        <f>VLOOKUP(G17,'TCR Values'!$B$2:$C$5,2, FALSE)</f>
        <v>100</v>
      </c>
      <c r="I17" s="75"/>
    </row>
    <row r="18" spans="2:9" s="58" customFormat="1" ht="15.75" thickBot="1" x14ac:dyDescent="0.3">
      <c r="B18" s="152">
        <v>-2</v>
      </c>
      <c r="C18" s="221"/>
      <c r="D18" s="122" t="s">
        <v>84</v>
      </c>
      <c r="E18" s="123">
        <v>0</v>
      </c>
      <c r="F18" s="123"/>
      <c r="G18" s="126" t="s">
        <v>45</v>
      </c>
      <c r="H18" s="124">
        <f>VLOOKUP(G18,'TCR Values'!$B$2:$C$5,2, FALSE)</f>
        <v>100</v>
      </c>
      <c r="I18" s="75"/>
    </row>
    <row r="19" spans="2:9" s="58" customFormat="1" ht="15.75" thickBot="1" x14ac:dyDescent="0.3">
      <c r="B19" s="152">
        <v>-2</v>
      </c>
      <c r="C19" s="222"/>
      <c r="D19" s="131" t="s">
        <v>49</v>
      </c>
      <c r="E19" s="123">
        <v>0</v>
      </c>
      <c r="F19" s="123"/>
      <c r="G19" s="133" t="s">
        <v>45</v>
      </c>
      <c r="H19" s="134">
        <f>VLOOKUP(G19,'TCR Values'!$B$2:$C$5,2, FALSE)</f>
        <v>100</v>
      </c>
      <c r="I19" s="135"/>
    </row>
    <row r="20" spans="2:9" s="58" customFormat="1" ht="15.75" thickBot="1" x14ac:dyDescent="0.3">
      <c r="B20" s="152">
        <v>-2</v>
      </c>
      <c r="C20" s="219" t="s">
        <v>99</v>
      </c>
      <c r="D20" s="127" t="s">
        <v>48</v>
      </c>
      <c r="E20" s="123">
        <v>0</v>
      </c>
      <c r="F20" s="123"/>
      <c r="G20" s="136" t="s">
        <v>45</v>
      </c>
      <c r="H20" s="129">
        <f>VLOOKUP(G20,'TCR Values'!$B$2:$C$5,2, FALSE)</f>
        <v>100</v>
      </c>
      <c r="I20" s="130"/>
    </row>
    <row r="21" spans="2:9" s="58" customFormat="1" ht="15.75" thickBot="1" x14ac:dyDescent="0.3">
      <c r="B21" s="152">
        <v>-2</v>
      </c>
      <c r="C21" s="221"/>
      <c r="D21" s="122" t="s">
        <v>77</v>
      </c>
      <c r="E21" s="123">
        <v>0</v>
      </c>
      <c r="F21" s="123"/>
      <c r="G21" s="126" t="s">
        <v>45</v>
      </c>
      <c r="H21" s="124">
        <f>VLOOKUP(G21,'TCR Values'!$B$2:$C$5,2, FALSE)</f>
        <v>100</v>
      </c>
      <c r="I21" s="75"/>
    </row>
    <row r="22" spans="2:9" s="58" customFormat="1" ht="15.75" thickBot="1" x14ac:dyDescent="0.3">
      <c r="B22" s="152">
        <v>-2</v>
      </c>
      <c r="C22" s="222"/>
      <c r="D22" s="131" t="s">
        <v>78</v>
      </c>
      <c r="E22" s="132">
        <v>0</v>
      </c>
      <c r="F22" s="132"/>
      <c r="G22" s="133" t="s">
        <v>45</v>
      </c>
      <c r="H22" s="134">
        <f>VLOOKUP(G22,'TCR Values'!$B$2:$C$5,2, FALSE)</f>
        <v>100</v>
      </c>
      <c r="I22" s="135"/>
    </row>
    <row r="23" spans="2:9" s="58" customFormat="1" ht="15.75" thickBot="1" x14ac:dyDescent="0.3">
      <c r="B23" s="152">
        <v>-2</v>
      </c>
      <c r="C23" s="219" t="s">
        <v>50</v>
      </c>
      <c r="D23" s="127" t="s">
        <v>79</v>
      </c>
      <c r="E23" s="128">
        <v>0</v>
      </c>
      <c r="F23" s="128"/>
      <c r="G23" s="136" t="s">
        <v>45</v>
      </c>
      <c r="H23" s="129">
        <f>VLOOKUP(G23,'TCR Values'!$B$2:$C$5,2, FALSE)</f>
        <v>100</v>
      </c>
      <c r="I23" s="130"/>
    </row>
    <row r="24" spans="2:9" s="58" customFormat="1" ht="15.75" thickBot="1" x14ac:dyDescent="0.3">
      <c r="B24" s="152">
        <v>-2</v>
      </c>
      <c r="C24" s="221"/>
      <c r="D24" s="122" t="s">
        <v>80</v>
      </c>
      <c r="E24" s="123">
        <v>0</v>
      </c>
      <c r="F24" s="123"/>
      <c r="G24" s="126" t="s">
        <v>45</v>
      </c>
      <c r="H24" s="124">
        <f>VLOOKUP(G24,'TCR Values'!$B$2:$C$5,2, FALSE)</f>
        <v>100</v>
      </c>
      <c r="I24" s="75"/>
    </row>
    <row r="25" spans="2:9" s="58" customFormat="1" ht="15.75" thickBot="1" x14ac:dyDescent="0.3">
      <c r="B25" s="152">
        <v>-2</v>
      </c>
      <c r="C25" s="221"/>
      <c r="D25" s="122" t="s">
        <v>81</v>
      </c>
      <c r="E25" s="123">
        <f>H25*B25</f>
        <v>0</v>
      </c>
      <c r="F25" s="123"/>
      <c r="G25" s="126" t="s">
        <v>39</v>
      </c>
      <c r="H25" s="124">
        <f>VLOOKUP(G25,'TCR Values'!$B$2:$C$5,2, FALSE)</f>
        <v>0</v>
      </c>
      <c r="I25" s="75" t="s">
        <v>97</v>
      </c>
    </row>
    <row r="26" spans="2:9" s="58" customFormat="1" ht="15.75" thickBot="1" x14ac:dyDescent="0.3">
      <c r="B26" s="152">
        <v>-2</v>
      </c>
      <c r="C26" s="222"/>
      <c r="D26" s="131" t="s">
        <v>82</v>
      </c>
      <c r="E26" s="132">
        <f>H26*B26</f>
        <v>0</v>
      </c>
      <c r="F26" s="132"/>
      <c r="G26" s="133" t="s">
        <v>39</v>
      </c>
      <c r="H26" s="134">
        <f>VLOOKUP(G26,'TCR Values'!$B$2:$C$5,2, FALSE)</f>
        <v>0</v>
      </c>
      <c r="I26" s="135" t="s">
        <v>97</v>
      </c>
    </row>
    <row r="27" spans="2:9" s="58" customFormat="1" ht="15.75" thickBot="1" x14ac:dyDescent="0.3">
      <c r="B27" s="152">
        <v>-2</v>
      </c>
      <c r="C27" s="223" t="s">
        <v>100</v>
      </c>
      <c r="D27" s="127" t="s">
        <v>51</v>
      </c>
      <c r="E27" s="128">
        <v>0</v>
      </c>
      <c r="F27" s="128"/>
      <c r="G27" s="136" t="s">
        <v>45</v>
      </c>
      <c r="H27" s="129">
        <f>VLOOKUP(G27,'TCR Values'!$B$2:$C$5,2, FALSE)</f>
        <v>100</v>
      </c>
      <c r="I27" s="130"/>
    </row>
    <row r="28" spans="2:9" s="58" customFormat="1" ht="15.75" thickBot="1" x14ac:dyDescent="0.3">
      <c r="B28" s="152">
        <v>-2</v>
      </c>
      <c r="C28" s="221"/>
      <c r="D28" s="122" t="s">
        <v>104</v>
      </c>
      <c r="E28" s="123">
        <v>0</v>
      </c>
      <c r="F28" s="123"/>
      <c r="G28" s="126" t="s">
        <v>45</v>
      </c>
      <c r="H28" s="124">
        <f>VLOOKUP(G28,'TCR Values'!$B$2:$C$5,2, FALSE)</f>
        <v>100</v>
      </c>
      <c r="I28" s="75"/>
    </row>
    <row r="29" spans="2:9" s="58" customFormat="1" ht="15.75" thickBot="1" x14ac:dyDescent="0.3">
      <c r="B29" s="152">
        <v>-2</v>
      </c>
      <c r="C29" s="221"/>
      <c r="D29" s="122" t="s">
        <v>53</v>
      </c>
      <c r="E29" s="123">
        <v>0</v>
      </c>
      <c r="F29" s="123"/>
      <c r="G29" s="126" t="s">
        <v>45</v>
      </c>
      <c r="H29" s="124">
        <f>VLOOKUP(G29,'TCR Values'!$B$2:$C$5,2, FALSE)</f>
        <v>100</v>
      </c>
      <c r="I29" s="75"/>
    </row>
    <row r="30" spans="2:9" s="58" customFormat="1" ht="15.75" thickBot="1" x14ac:dyDescent="0.3">
      <c r="B30" s="152">
        <v>-2</v>
      </c>
      <c r="C30" s="221"/>
      <c r="D30" s="122" t="s">
        <v>52</v>
      </c>
      <c r="E30" s="123">
        <v>0</v>
      </c>
      <c r="F30" s="123"/>
      <c r="G30" s="126" t="s">
        <v>45</v>
      </c>
      <c r="H30" s="124">
        <f>VLOOKUP(G30,'TCR Values'!$B$2:$C$5,2, FALSE)</f>
        <v>100</v>
      </c>
      <c r="I30" s="75"/>
    </row>
    <row r="31" spans="2:9" s="58" customFormat="1" ht="15.75" thickBot="1" x14ac:dyDescent="0.3">
      <c r="B31" s="152">
        <v>-2</v>
      </c>
      <c r="C31" s="222"/>
      <c r="D31" s="131" t="s">
        <v>83</v>
      </c>
      <c r="E31" s="132">
        <v>0</v>
      </c>
      <c r="F31" s="132"/>
      <c r="G31" s="133" t="s">
        <v>45</v>
      </c>
      <c r="H31" s="134">
        <f>VLOOKUP(G31,'TCR Values'!$B$2:$C$5,2, FALSE)</f>
        <v>100</v>
      </c>
      <c r="I31" s="135"/>
    </row>
    <row r="32" spans="2:9" s="58" customFormat="1" ht="15.75" thickBot="1" x14ac:dyDescent="0.3">
      <c r="B32" s="152">
        <v>-2</v>
      </c>
      <c r="C32" s="219" t="s">
        <v>56</v>
      </c>
      <c r="D32" s="127" t="s">
        <v>54</v>
      </c>
      <c r="E32" s="128">
        <v>0</v>
      </c>
      <c r="F32" s="128"/>
      <c r="G32" s="136" t="s">
        <v>45</v>
      </c>
      <c r="H32" s="129">
        <f>VLOOKUP(G32,'TCR Values'!$B$2:$C$5,2, FALSE)</f>
        <v>100</v>
      </c>
      <c r="I32" s="130"/>
    </row>
    <row r="33" spans="2:9" s="58" customFormat="1" ht="15.75" thickBot="1" x14ac:dyDescent="0.3">
      <c r="B33" s="152">
        <v>-2</v>
      </c>
      <c r="C33" s="222"/>
      <c r="D33" s="131" t="s">
        <v>86</v>
      </c>
      <c r="E33" s="132">
        <v>0</v>
      </c>
      <c r="F33" s="132"/>
      <c r="G33" s="133" t="s">
        <v>45</v>
      </c>
      <c r="H33" s="134">
        <f>VLOOKUP(G33,'TCR Values'!$B$2:$C$5,2, FALSE)</f>
        <v>100</v>
      </c>
      <c r="I33" s="135"/>
    </row>
    <row r="34" spans="2:9" s="58" customFormat="1" ht="15.75" thickBot="1" x14ac:dyDescent="0.3">
      <c r="B34" s="152">
        <v>-2</v>
      </c>
      <c r="C34" s="219" t="s">
        <v>58</v>
      </c>
      <c r="D34" s="127" t="s">
        <v>58</v>
      </c>
      <c r="E34" s="128">
        <v>0</v>
      </c>
      <c r="F34" s="128"/>
      <c r="G34" s="136" t="s">
        <v>45</v>
      </c>
      <c r="H34" s="129">
        <f>VLOOKUP(G34,'TCR Values'!$B$2:$C$5,2, FALSE)</f>
        <v>100</v>
      </c>
      <c r="I34" s="130"/>
    </row>
    <row r="35" spans="2:9" s="58" customFormat="1" ht="15.75" thickBot="1" x14ac:dyDescent="0.3">
      <c r="B35" s="152">
        <v>-2</v>
      </c>
      <c r="C35" s="221"/>
      <c r="D35" s="122" t="s">
        <v>61</v>
      </c>
      <c r="E35" s="123">
        <v>0</v>
      </c>
      <c r="F35" s="123"/>
      <c r="G35" s="126" t="s">
        <v>45</v>
      </c>
      <c r="H35" s="124">
        <f>VLOOKUP(G35,'TCR Values'!$B$2:$C$5,2, FALSE)</f>
        <v>100</v>
      </c>
      <c r="I35" s="75"/>
    </row>
    <row r="36" spans="2:9" s="58" customFormat="1" ht="15.75" thickBot="1" x14ac:dyDescent="0.3">
      <c r="B36" s="152">
        <v>-2</v>
      </c>
      <c r="C36" s="221"/>
      <c r="D36" s="122" t="s">
        <v>87</v>
      </c>
      <c r="E36" s="123">
        <v>0</v>
      </c>
      <c r="F36" s="123"/>
      <c r="G36" s="126" t="s">
        <v>45</v>
      </c>
      <c r="H36" s="124">
        <f>VLOOKUP(G36,'TCR Values'!$B$2:$C$5,2, FALSE)</f>
        <v>100</v>
      </c>
      <c r="I36" s="75"/>
    </row>
    <row r="37" spans="2:9" s="58" customFormat="1" ht="15.75" thickBot="1" x14ac:dyDescent="0.3">
      <c r="B37" s="152">
        <v>-2</v>
      </c>
      <c r="C37" s="221"/>
      <c r="D37" s="122" t="s">
        <v>57</v>
      </c>
      <c r="E37" s="123">
        <v>0</v>
      </c>
      <c r="F37" s="123"/>
      <c r="G37" s="126" t="s">
        <v>45</v>
      </c>
      <c r="H37" s="124">
        <f>VLOOKUP(G37,'TCR Values'!$B$2:$C$5,2, FALSE)</f>
        <v>100</v>
      </c>
      <c r="I37" s="75"/>
    </row>
    <row r="38" spans="2:9" s="58" customFormat="1" ht="15.75" thickBot="1" x14ac:dyDescent="0.3">
      <c r="B38" s="152">
        <v>-2</v>
      </c>
      <c r="C38" s="221"/>
      <c r="D38" s="122" t="s">
        <v>88</v>
      </c>
      <c r="E38" s="123">
        <v>0</v>
      </c>
      <c r="F38" s="123"/>
      <c r="G38" s="126" t="s">
        <v>45</v>
      </c>
      <c r="H38" s="124">
        <f>VLOOKUP(G38,'TCR Values'!$B$2:$C$5,2, FALSE)</f>
        <v>100</v>
      </c>
      <c r="I38" s="75"/>
    </row>
    <row r="39" spans="2:9" s="58" customFormat="1" ht="15.75" thickBot="1" x14ac:dyDescent="0.3">
      <c r="B39" s="152">
        <v>-2</v>
      </c>
      <c r="C39" s="221"/>
      <c r="D39" s="122" t="s">
        <v>89</v>
      </c>
      <c r="E39" s="123">
        <v>0</v>
      </c>
      <c r="F39" s="123"/>
      <c r="G39" s="126" t="s">
        <v>45</v>
      </c>
      <c r="H39" s="124">
        <f>VLOOKUP(G39,'TCR Values'!$B$2:$C$5,2, FALSE)</f>
        <v>100</v>
      </c>
      <c r="I39" s="75"/>
    </row>
    <row r="40" spans="2:9" s="58" customFormat="1" ht="15.75" thickBot="1" x14ac:dyDescent="0.3">
      <c r="B40" s="152">
        <v>-2</v>
      </c>
      <c r="C40" s="221"/>
      <c r="D40" s="122" t="s">
        <v>90</v>
      </c>
      <c r="E40" s="123">
        <v>0</v>
      </c>
      <c r="F40" s="123"/>
      <c r="G40" s="126" t="s">
        <v>45</v>
      </c>
      <c r="H40" s="124">
        <f>VLOOKUP(G40,'TCR Values'!$B$2:$C$5,2, FALSE)</f>
        <v>100</v>
      </c>
      <c r="I40" s="75"/>
    </row>
    <row r="41" spans="2:9" s="58" customFormat="1" ht="15.75" thickBot="1" x14ac:dyDescent="0.3">
      <c r="B41" s="152">
        <v>-2</v>
      </c>
      <c r="C41" s="222"/>
      <c r="D41" s="131" t="s">
        <v>91</v>
      </c>
      <c r="E41" s="132">
        <v>0</v>
      </c>
      <c r="F41" s="132"/>
      <c r="G41" s="133" t="s">
        <v>45</v>
      </c>
      <c r="H41" s="134">
        <f>VLOOKUP(G41,'TCR Values'!$B$2:$C$5,2, FALSE)</f>
        <v>100</v>
      </c>
      <c r="I41" s="135"/>
    </row>
    <row r="42" spans="2:9" s="58" customFormat="1" ht="15.75" thickBot="1" x14ac:dyDescent="0.3">
      <c r="B42" s="152">
        <v>-2</v>
      </c>
      <c r="C42" s="219" t="s">
        <v>101</v>
      </c>
      <c r="D42" s="122" t="s">
        <v>60</v>
      </c>
      <c r="E42" s="123">
        <v>0</v>
      </c>
      <c r="F42" s="123"/>
      <c r="G42" s="126" t="s">
        <v>45</v>
      </c>
      <c r="H42" s="124">
        <f>VLOOKUP(G42,'TCR Values'!$B$2:$C$5,2, FALSE)</f>
        <v>100</v>
      </c>
      <c r="I42" s="125"/>
    </row>
    <row r="43" spans="2:9" s="58" customFormat="1" ht="15.75" thickBot="1" x14ac:dyDescent="0.3">
      <c r="B43" s="152">
        <v>-2</v>
      </c>
      <c r="C43" s="221"/>
      <c r="D43" s="122" t="s">
        <v>85</v>
      </c>
      <c r="E43" s="123">
        <v>0</v>
      </c>
      <c r="F43" s="123"/>
      <c r="G43" s="126" t="s">
        <v>45</v>
      </c>
      <c r="H43" s="124">
        <f>VLOOKUP(G43,'TCR Values'!$B$2:$C$5,2, FALSE)</f>
        <v>100</v>
      </c>
      <c r="I43" s="125"/>
    </row>
    <row r="44" spans="2:9" s="58" customFormat="1" ht="15.75" thickBot="1" x14ac:dyDescent="0.3">
      <c r="B44" s="152">
        <v>-2</v>
      </c>
      <c r="C44" s="222"/>
      <c r="D44" s="122" t="s">
        <v>59</v>
      </c>
      <c r="E44" s="123">
        <v>0</v>
      </c>
      <c r="F44" s="123"/>
      <c r="G44" s="126" t="s">
        <v>45</v>
      </c>
      <c r="H44" s="124">
        <f>VLOOKUP(G44,'TCR Values'!$B$2:$C$5,2, FALSE)</f>
        <v>100</v>
      </c>
      <c r="I44" s="125"/>
    </row>
    <row r="45" spans="2:9" s="58" customFormat="1" ht="15.75" thickBot="1" x14ac:dyDescent="0.3">
      <c r="B45" s="152">
        <v>-2</v>
      </c>
      <c r="C45" s="219" t="s">
        <v>102</v>
      </c>
      <c r="D45" s="127" t="s">
        <v>92</v>
      </c>
      <c r="E45" s="128">
        <f>H45*B45</f>
        <v>0</v>
      </c>
      <c r="F45" s="128"/>
      <c r="G45" s="136" t="s">
        <v>39</v>
      </c>
      <c r="H45" s="129">
        <f>VLOOKUP(G45,'TCR Values'!$B$2:$C$5,2, FALSE)</f>
        <v>0</v>
      </c>
      <c r="I45" s="130" t="s">
        <v>96</v>
      </c>
    </row>
    <row r="46" spans="2:9" s="58" customFormat="1" ht="15.75" thickBot="1" x14ac:dyDescent="0.3">
      <c r="B46" s="152">
        <v>-2</v>
      </c>
      <c r="C46" s="221"/>
      <c r="D46" s="122" t="s">
        <v>93</v>
      </c>
      <c r="E46" s="123">
        <f>H46*B46</f>
        <v>0</v>
      </c>
      <c r="F46" s="123"/>
      <c r="G46" s="126" t="s">
        <v>39</v>
      </c>
      <c r="H46" s="124">
        <f>VLOOKUP(G46,'TCR Values'!$B$2:$C$5,2, FALSE)</f>
        <v>0</v>
      </c>
      <c r="I46" s="75" t="s">
        <v>96</v>
      </c>
    </row>
    <row r="47" spans="2:9" s="58" customFormat="1" ht="15.75" thickBot="1" x14ac:dyDescent="0.3">
      <c r="B47" s="152">
        <v>-2</v>
      </c>
      <c r="C47" s="221"/>
      <c r="D47" s="122" t="s">
        <v>94</v>
      </c>
      <c r="E47" s="123">
        <f>H47*B47</f>
        <v>0</v>
      </c>
      <c r="F47" s="123"/>
      <c r="G47" s="126" t="s">
        <v>39</v>
      </c>
      <c r="H47" s="124">
        <f>VLOOKUP(G47,'TCR Values'!$B$2:$C$5,2, FALSE)</f>
        <v>0</v>
      </c>
      <c r="I47" s="75" t="s">
        <v>96</v>
      </c>
    </row>
    <row r="48" spans="2:9" s="58" customFormat="1" ht="15.75" thickBot="1" x14ac:dyDescent="0.3">
      <c r="B48" s="152">
        <v>-2</v>
      </c>
      <c r="C48" s="222"/>
      <c r="D48" s="131" t="s">
        <v>95</v>
      </c>
      <c r="E48" s="132">
        <f>H48*B48</f>
        <v>0</v>
      </c>
      <c r="F48" s="132"/>
      <c r="G48" s="133" t="s">
        <v>39</v>
      </c>
      <c r="H48" s="134">
        <f>VLOOKUP(G48,'TCR Values'!$B$2:$C$5,2, FALSE)</f>
        <v>0</v>
      </c>
      <c r="I48" s="135" t="s">
        <v>96</v>
      </c>
    </row>
    <row r="49" spans="2:9" ht="15" customHeight="1" thickBot="1" x14ac:dyDescent="0.3">
      <c r="B49" s="41"/>
      <c r="C49" s="42"/>
      <c r="D49" s="43" t="s">
        <v>19</v>
      </c>
      <c r="E49" s="62">
        <f>MAX(-20,SUM(E5:E48))</f>
        <v>0</v>
      </c>
      <c r="F49" s="62">
        <f>MAX(-20,SUM(F5:F48))</f>
        <v>-8</v>
      </c>
      <c r="G49" s="66"/>
      <c r="H49" s="63"/>
      <c r="I49" s="64"/>
    </row>
    <row r="50" spans="2:9" ht="15" customHeight="1" x14ac:dyDescent="0.25">
      <c r="B50" s="148"/>
      <c r="C50" s="148"/>
      <c r="D50" s="149" t="s">
        <v>121</v>
      </c>
      <c r="E50" s="150">
        <f>ROUNDDOWN(E49/5,0)</f>
        <v>0</v>
      </c>
      <c r="F50" s="150">
        <f>ROUNDDOWN(F49/5,0)</f>
        <v>-1</v>
      </c>
      <c r="G50" s="148"/>
      <c r="H50" s="148"/>
      <c r="I50" s="148"/>
    </row>
    <row r="51" spans="2:9" ht="30" x14ac:dyDescent="0.25">
      <c r="C51" s="144" t="s">
        <v>113</v>
      </c>
      <c r="D51" s="143" t="s">
        <v>124</v>
      </c>
    </row>
  </sheetData>
  <sheetProtection selectLockedCells="1"/>
  <mergeCells count="10">
    <mergeCell ref="C45:C48"/>
    <mergeCell ref="C32:C33"/>
    <mergeCell ref="C42:C44"/>
    <mergeCell ref="D2:D3"/>
    <mergeCell ref="C5:C9"/>
    <mergeCell ref="C10:C19"/>
    <mergeCell ref="C20:C22"/>
    <mergeCell ref="C23:C26"/>
    <mergeCell ref="C27:C31"/>
    <mergeCell ref="C34:C41"/>
  </mergeCells>
  <conditionalFormatting sqref="G6:G17 G48 G19:G32 G42:G45">
    <cfRule type="cellIs" dxfId="143" priority="53" stopIfTrue="1" operator="equal">
      <formula>$D$10</formula>
    </cfRule>
    <cfRule type="cellIs" dxfId="142" priority="54" stopIfTrue="1" operator="equal">
      <formula>$D$9</formula>
    </cfRule>
    <cfRule type="cellIs" dxfId="141" priority="55" stopIfTrue="1" operator="equal">
      <formula>$D$8</formula>
    </cfRule>
    <cfRule type="cellIs" dxfId="140" priority="56" stopIfTrue="1" operator="equal">
      <formula>$D$7</formula>
    </cfRule>
  </conditionalFormatting>
  <conditionalFormatting sqref="G39:G41">
    <cfRule type="cellIs" dxfId="139" priority="45" stopIfTrue="1" operator="equal">
      <formula>$D$10</formula>
    </cfRule>
    <cfRule type="cellIs" dxfId="138" priority="46" stopIfTrue="1" operator="equal">
      <formula>$D$9</formula>
    </cfRule>
    <cfRule type="cellIs" dxfId="137" priority="47" stopIfTrue="1" operator="equal">
      <formula>$D$8</formula>
    </cfRule>
    <cfRule type="cellIs" dxfId="136" priority="48" stopIfTrue="1" operator="equal">
      <formula>$D$7</formula>
    </cfRule>
  </conditionalFormatting>
  <conditionalFormatting sqref="G36:G38">
    <cfRule type="cellIs" dxfId="135" priority="37" stopIfTrue="1" operator="equal">
      <formula>$D$10</formula>
    </cfRule>
    <cfRule type="cellIs" dxfId="134" priority="38" stopIfTrue="1" operator="equal">
      <formula>$D$9</formula>
    </cfRule>
    <cfRule type="cellIs" dxfId="133" priority="39" stopIfTrue="1" operator="equal">
      <formula>$D$8</formula>
    </cfRule>
    <cfRule type="cellIs" dxfId="132" priority="40" stopIfTrue="1" operator="equal">
      <formula>$D$7</formula>
    </cfRule>
  </conditionalFormatting>
  <conditionalFormatting sqref="G33:G35">
    <cfRule type="cellIs" dxfId="131" priority="29" stopIfTrue="1" operator="equal">
      <formula>$D$10</formula>
    </cfRule>
    <cfRule type="cellIs" dxfId="130" priority="30" stopIfTrue="1" operator="equal">
      <formula>$D$9</formula>
    </cfRule>
    <cfRule type="cellIs" dxfId="129" priority="31" stopIfTrue="1" operator="equal">
      <formula>$D$8</formula>
    </cfRule>
    <cfRule type="cellIs" dxfId="128" priority="32" stopIfTrue="1" operator="equal">
      <formula>$D$7</formula>
    </cfRule>
  </conditionalFormatting>
  <conditionalFormatting sqref="G18">
    <cfRule type="cellIs" dxfId="127" priority="21" stopIfTrue="1" operator="equal">
      <formula>$D$10</formula>
    </cfRule>
    <cfRule type="cellIs" dxfId="126" priority="22" stopIfTrue="1" operator="equal">
      <formula>$D$9</formula>
    </cfRule>
    <cfRule type="cellIs" dxfId="125" priority="23" stopIfTrue="1" operator="equal">
      <formula>$D$8</formula>
    </cfRule>
    <cfRule type="cellIs" dxfId="124" priority="24" stopIfTrue="1" operator="equal">
      <formula>$D$7</formula>
    </cfRule>
  </conditionalFormatting>
  <conditionalFormatting sqref="G46">
    <cfRule type="cellIs" dxfId="123" priority="13" stopIfTrue="1" operator="equal">
      <formula>$D$10</formula>
    </cfRule>
    <cfRule type="cellIs" dxfId="122" priority="14" stopIfTrue="1" operator="equal">
      <formula>$D$9</formula>
    </cfRule>
    <cfRule type="cellIs" dxfId="121" priority="15" stopIfTrue="1" operator="equal">
      <formula>$D$8</formula>
    </cfRule>
    <cfRule type="cellIs" dxfId="120" priority="16" stopIfTrue="1" operator="equal">
      <formula>$D$7</formula>
    </cfRule>
  </conditionalFormatting>
  <conditionalFormatting sqref="G47">
    <cfRule type="cellIs" dxfId="119" priority="5" stopIfTrue="1" operator="equal">
      <formula>$D$10</formula>
    </cfRule>
    <cfRule type="cellIs" dxfId="118" priority="6" stopIfTrue="1" operator="equal">
      <formula>$D$9</formula>
    </cfRule>
    <cfRule type="cellIs" dxfId="117" priority="7" stopIfTrue="1" operator="equal">
      <formula>$D$8</formula>
    </cfRule>
    <cfRule type="cellIs" dxfId="116" priority="8" stopIfTrue="1" operator="equal">
      <formula>$D$7</formula>
    </cfRule>
  </conditionalFormatting>
  <pageMargins left="0.7" right="0.7" top="0.75" bottom="0.75" header="0.3" footer="0.3"/>
  <pageSetup orientation="portrait" horizontalDpi="300" r:id="rId1"/>
  <extLst>
    <ext xmlns:x14="http://schemas.microsoft.com/office/spreadsheetml/2009/9/main" uri="{78C0D931-6437-407d-A8EE-F0AAD7539E65}">
      <x14:conditionalFormattings>
        <x14:conditionalFormatting xmlns:xm="http://schemas.microsoft.com/office/excel/2006/main">
          <x14:cfRule type="cellIs" priority="49" stopIfTrue="1" operator="equal" id="{AAEB3625-CD38-4BA6-BBE4-4D94D8CF98DA}">
            <xm:f>'TCR Values'!$B$2</xm:f>
            <x14:dxf>
              <font>
                <color theme="9" tint="-0.24994659260841701"/>
              </font>
              <fill>
                <patternFill>
                  <bgColor theme="1" tint="0.24994659260841701"/>
                </patternFill>
              </fill>
            </x14:dxf>
          </x14:cfRule>
          <x14:cfRule type="cellIs" priority="50" stopIfTrue="1" operator="equal" id="{D60FD34B-2F73-405E-8D06-F9918DCFBCC2}">
            <xm:f>'TCR Values'!$B$4</xm:f>
            <x14:dxf>
              <font>
                <b/>
                <i val="0"/>
                <color theme="0"/>
              </font>
              <fill>
                <patternFill>
                  <bgColor rgb="FFC00000"/>
                </patternFill>
              </fill>
            </x14:dxf>
          </x14:cfRule>
          <x14:cfRule type="cellIs" priority="51" stopIfTrue="1" operator="equal" id="{CCAF0A82-1C85-4E5E-B1CA-05E87BF2A94C}">
            <xm:f>'TCR Values'!$B$3</xm:f>
            <x14:dxf>
              <font>
                <b val="0"/>
                <i val="0"/>
                <color theme="0"/>
              </font>
              <fill>
                <patternFill>
                  <bgColor rgb="FF92D050"/>
                </patternFill>
              </fill>
            </x14:dxf>
          </x14:cfRule>
          <x14:cfRule type="cellIs" priority="52" stopIfTrue="1" operator="equal" id="{C652C6C7-C37E-4CB0-9F3C-E46663465E6D}">
            <xm:f>'TCR Values'!$B$5</xm:f>
            <x14:dxf>
              <font>
                <color theme="1"/>
              </font>
              <fill>
                <patternFill>
                  <bgColor theme="9" tint="0.79998168889431442"/>
                </patternFill>
              </fill>
            </x14:dxf>
          </x14:cfRule>
          <xm:sqref>G5:G17 G48 G19:G32 G42:G45</xm:sqref>
        </x14:conditionalFormatting>
        <x14:conditionalFormatting xmlns:xm="http://schemas.microsoft.com/office/excel/2006/main">
          <x14:cfRule type="cellIs" priority="41" stopIfTrue="1" operator="equal" id="{14088037-99DA-4F83-B408-3274FC001A38}">
            <xm:f>'TCR Values'!$B$2</xm:f>
            <x14:dxf>
              <font>
                <color theme="9" tint="-0.24994659260841701"/>
              </font>
              <fill>
                <patternFill>
                  <bgColor theme="1" tint="0.24994659260841701"/>
                </patternFill>
              </fill>
            </x14:dxf>
          </x14:cfRule>
          <x14:cfRule type="cellIs" priority="42" stopIfTrue="1" operator="equal" id="{67D4300D-AE94-442F-B622-D92849D9A9D4}">
            <xm:f>'TCR Values'!$B$4</xm:f>
            <x14:dxf>
              <font>
                <b/>
                <i val="0"/>
                <color theme="0"/>
              </font>
              <fill>
                <patternFill>
                  <bgColor rgb="FFC00000"/>
                </patternFill>
              </fill>
            </x14:dxf>
          </x14:cfRule>
          <x14:cfRule type="cellIs" priority="43" stopIfTrue="1" operator="equal" id="{5C1EB224-80AD-48FD-BAF5-7D07B18B513C}">
            <xm:f>'TCR Values'!$B$3</xm:f>
            <x14:dxf>
              <font>
                <b val="0"/>
                <i val="0"/>
                <color theme="0"/>
              </font>
              <fill>
                <patternFill>
                  <bgColor rgb="FF92D050"/>
                </patternFill>
              </fill>
            </x14:dxf>
          </x14:cfRule>
          <x14:cfRule type="cellIs" priority="44" stopIfTrue="1" operator="equal" id="{D858EA38-049E-4868-832F-32A669E43BA1}">
            <xm:f>'TCR Values'!$B$5</xm:f>
            <x14:dxf>
              <font>
                <color theme="1"/>
              </font>
              <fill>
                <patternFill>
                  <bgColor theme="9" tint="0.79998168889431442"/>
                </patternFill>
              </fill>
            </x14:dxf>
          </x14:cfRule>
          <xm:sqref>G39:G41</xm:sqref>
        </x14:conditionalFormatting>
        <x14:conditionalFormatting xmlns:xm="http://schemas.microsoft.com/office/excel/2006/main">
          <x14:cfRule type="cellIs" priority="33" stopIfTrue="1" operator="equal" id="{6958A6F0-13C7-479A-B1A9-637F1701556D}">
            <xm:f>'TCR Values'!$B$2</xm:f>
            <x14:dxf>
              <font>
                <color theme="9" tint="-0.24994659260841701"/>
              </font>
              <fill>
                <patternFill>
                  <bgColor theme="1" tint="0.24994659260841701"/>
                </patternFill>
              </fill>
            </x14:dxf>
          </x14:cfRule>
          <x14:cfRule type="cellIs" priority="34" stopIfTrue="1" operator="equal" id="{A0BF6208-9209-48AA-99B2-D55158AECEF9}">
            <xm:f>'TCR Values'!$B$4</xm:f>
            <x14:dxf>
              <font>
                <b/>
                <i val="0"/>
                <color theme="0"/>
              </font>
              <fill>
                <patternFill>
                  <bgColor rgb="FFC00000"/>
                </patternFill>
              </fill>
            </x14:dxf>
          </x14:cfRule>
          <x14:cfRule type="cellIs" priority="35" stopIfTrue="1" operator="equal" id="{89BB9950-4DEF-400D-891A-DC942D5656D4}">
            <xm:f>'TCR Values'!$B$3</xm:f>
            <x14:dxf>
              <font>
                <b val="0"/>
                <i val="0"/>
                <color theme="0"/>
              </font>
              <fill>
                <patternFill>
                  <bgColor rgb="FF92D050"/>
                </patternFill>
              </fill>
            </x14:dxf>
          </x14:cfRule>
          <x14:cfRule type="cellIs" priority="36" stopIfTrue="1" operator="equal" id="{24290256-EC5F-42D6-9C48-25D6743F35B5}">
            <xm:f>'TCR Values'!$B$5</xm:f>
            <x14:dxf>
              <font>
                <color theme="1"/>
              </font>
              <fill>
                <patternFill>
                  <bgColor theme="9" tint="0.79998168889431442"/>
                </patternFill>
              </fill>
            </x14:dxf>
          </x14:cfRule>
          <xm:sqref>G36:G38</xm:sqref>
        </x14:conditionalFormatting>
        <x14:conditionalFormatting xmlns:xm="http://schemas.microsoft.com/office/excel/2006/main">
          <x14:cfRule type="cellIs" priority="25" stopIfTrue="1" operator="equal" id="{5B159F50-2C51-4567-BD5A-83FDECE03EF2}">
            <xm:f>'TCR Values'!$B$2</xm:f>
            <x14:dxf>
              <font>
                <color theme="9" tint="-0.24994659260841701"/>
              </font>
              <fill>
                <patternFill>
                  <bgColor theme="1" tint="0.24994659260841701"/>
                </patternFill>
              </fill>
            </x14:dxf>
          </x14:cfRule>
          <x14:cfRule type="cellIs" priority="26" stopIfTrue="1" operator="equal" id="{2094FA24-3319-4204-8ABC-669C958B2226}">
            <xm:f>'TCR Values'!$B$4</xm:f>
            <x14:dxf>
              <font>
                <b/>
                <i val="0"/>
                <color theme="0"/>
              </font>
              <fill>
                <patternFill>
                  <bgColor rgb="FFC00000"/>
                </patternFill>
              </fill>
            </x14:dxf>
          </x14:cfRule>
          <x14:cfRule type="cellIs" priority="27" stopIfTrue="1" operator="equal" id="{EE568FAD-9020-4AA7-89F6-B7878E9731EB}">
            <xm:f>'TCR Values'!$B$3</xm:f>
            <x14:dxf>
              <font>
                <b val="0"/>
                <i val="0"/>
                <color theme="0"/>
              </font>
              <fill>
                <patternFill>
                  <bgColor rgb="FF92D050"/>
                </patternFill>
              </fill>
            </x14:dxf>
          </x14:cfRule>
          <x14:cfRule type="cellIs" priority="28" stopIfTrue="1" operator="equal" id="{F45598D2-29A9-423D-A6C9-7C09E3F8B064}">
            <xm:f>'TCR Values'!$B$5</xm:f>
            <x14:dxf>
              <font>
                <color theme="1"/>
              </font>
              <fill>
                <patternFill>
                  <bgColor theme="9" tint="0.79998168889431442"/>
                </patternFill>
              </fill>
            </x14:dxf>
          </x14:cfRule>
          <xm:sqref>G33:G35</xm:sqref>
        </x14:conditionalFormatting>
        <x14:conditionalFormatting xmlns:xm="http://schemas.microsoft.com/office/excel/2006/main">
          <x14:cfRule type="cellIs" priority="17" stopIfTrue="1" operator="equal" id="{A1C7CE25-B991-47FC-ACD6-E09F1F8E7457}">
            <xm:f>'TCR Values'!$B$2</xm:f>
            <x14:dxf>
              <font>
                <color theme="9" tint="-0.24994659260841701"/>
              </font>
              <fill>
                <patternFill>
                  <bgColor theme="1" tint="0.24994659260841701"/>
                </patternFill>
              </fill>
            </x14:dxf>
          </x14:cfRule>
          <x14:cfRule type="cellIs" priority="18" stopIfTrue="1" operator="equal" id="{84A483CF-59D4-4638-A5FA-52717DE8BB30}">
            <xm:f>'TCR Values'!$B$4</xm:f>
            <x14:dxf>
              <font>
                <b/>
                <i val="0"/>
                <color theme="0"/>
              </font>
              <fill>
                <patternFill>
                  <bgColor rgb="FFC00000"/>
                </patternFill>
              </fill>
            </x14:dxf>
          </x14:cfRule>
          <x14:cfRule type="cellIs" priority="19" stopIfTrue="1" operator="equal" id="{F16999D7-A25F-4C1F-9F1C-52BA04A211D5}">
            <xm:f>'TCR Values'!$B$3</xm:f>
            <x14:dxf>
              <font>
                <b val="0"/>
                <i val="0"/>
                <color theme="0"/>
              </font>
              <fill>
                <patternFill>
                  <bgColor rgb="FF92D050"/>
                </patternFill>
              </fill>
            </x14:dxf>
          </x14:cfRule>
          <x14:cfRule type="cellIs" priority="20" stopIfTrue="1" operator="equal" id="{B83088A7-EE75-4764-A3E4-AF777E5C36B9}">
            <xm:f>'TCR Values'!$B$5</xm:f>
            <x14:dxf>
              <font>
                <color theme="1"/>
              </font>
              <fill>
                <patternFill>
                  <bgColor theme="9" tint="0.79998168889431442"/>
                </patternFill>
              </fill>
            </x14:dxf>
          </x14:cfRule>
          <xm:sqref>G18</xm:sqref>
        </x14:conditionalFormatting>
        <x14:conditionalFormatting xmlns:xm="http://schemas.microsoft.com/office/excel/2006/main">
          <x14:cfRule type="cellIs" priority="9" stopIfTrue="1" operator="equal" id="{782F1725-BE57-4E8C-9959-A77BF7769412}">
            <xm:f>'TCR Values'!$B$2</xm:f>
            <x14:dxf>
              <font>
                <color theme="9" tint="-0.24994659260841701"/>
              </font>
              <fill>
                <patternFill>
                  <bgColor theme="1" tint="0.24994659260841701"/>
                </patternFill>
              </fill>
            </x14:dxf>
          </x14:cfRule>
          <x14:cfRule type="cellIs" priority="10" stopIfTrue="1" operator="equal" id="{F60299FA-EDAB-4244-AD04-0EA09DB78AD7}">
            <xm:f>'TCR Values'!$B$4</xm:f>
            <x14:dxf>
              <font>
                <b/>
                <i val="0"/>
                <color theme="0"/>
              </font>
              <fill>
                <patternFill>
                  <bgColor rgb="FFC00000"/>
                </patternFill>
              </fill>
            </x14:dxf>
          </x14:cfRule>
          <x14:cfRule type="cellIs" priority="11" stopIfTrue="1" operator="equal" id="{3438B0F2-DBE7-4507-93CB-596F7D8EE7E6}">
            <xm:f>'TCR Values'!$B$3</xm:f>
            <x14:dxf>
              <font>
                <b val="0"/>
                <i val="0"/>
                <color theme="0"/>
              </font>
              <fill>
                <patternFill>
                  <bgColor rgb="FF92D050"/>
                </patternFill>
              </fill>
            </x14:dxf>
          </x14:cfRule>
          <x14:cfRule type="cellIs" priority="12" stopIfTrue="1" operator="equal" id="{11CE2E63-BD79-42AD-9260-0FE8BF53D04B}">
            <xm:f>'TCR Values'!$B$5</xm:f>
            <x14:dxf>
              <font>
                <color theme="1"/>
              </font>
              <fill>
                <patternFill>
                  <bgColor theme="9" tint="0.79998168889431442"/>
                </patternFill>
              </fill>
            </x14:dxf>
          </x14:cfRule>
          <xm:sqref>G46</xm:sqref>
        </x14:conditionalFormatting>
        <x14:conditionalFormatting xmlns:xm="http://schemas.microsoft.com/office/excel/2006/main">
          <x14:cfRule type="cellIs" priority="1" stopIfTrue="1" operator="equal" id="{45E33BB2-0A69-4DEB-B7BE-15ED347355EB}">
            <xm:f>'TCR Values'!$B$2</xm:f>
            <x14:dxf>
              <font>
                <color theme="9" tint="-0.24994659260841701"/>
              </font>
              <fill>
                <patternFill>
                  <bgColor theme="1" tint="0.24994659260841701"/>
                </patternFill>
              </fill>
            </x14:dxf>
          </x14:cfRule>
          <x14:cfRule type="cellIs" priority="2" stopIfTrue="1" operator="equal" id="{727C0213-36B9-4748-929E-189841D656C0}">
            <xm:f>'TCR Values'!$B$4</xm:f>
            <x14:dxf>
              <font>
                <b/>
                <i val="0"/>
                <color theme="0"/>
              </font>
              <fill>
                <patternFill>
                  <bgColor rgb="FFC00000"/>
                </patternFill>
              </fill>
            </x14:dxf>
          </x14:cfRule>
          <x14:cfRule type="cellIs" priority="3" stopIfTrue="1" operator="equal" id="{39754B3A-1722-49DA-8434-C2B987E71CEC}">
            <xm:f>'TCR Values'!$B$3</xm:f>
            <x14:dxf>
              <font>
                <b val="0"/>
                <i val="0"/>
                <color theme="0"/>
              </font>
              <fill>
                <patternFill>
                  <bgColor rgb="FF92D050"/>
                </patternFill>
              </fill>
            </x14:dxf>
          </x14:cfRule>
          <x14:cfRule type="cellIs" priority="4" stopIfTrue="1" operator="equal" id="{663BA461-9E7C-4584-81CB-AF5541430A9D}">
            <xm:f>'TCR Values'!$B$5</xm:f>
            <x14:dxf>
              <font>
                <color theme="1"/>
              </font>
              <fill>
                <patternFill>
                  <bgColor theme="9" tint="0.79998168889431442"/>
                </patternFill>
              </fill>
            </x14:dxf>
          </x14:cfRule>
          <xm:sqref>G47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F877FD5-383F-48C2-AD1A-B1B0C01CC489}">
          <x14:formula1>
            <xm:f>'TCR Values'!$B$2:$B$5</xm:f>
          </x14:formula1>
          <xm:sqref>G5:G48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0DA71-45A0-4F11-A6C4-950F9FA37093}">
  <dimension ref="B1:L100"/>
  <sheetViews>
    <sheetView tabSelected="1" topLeftCell="A55" zoomScale="145" zoomScaleNormal="145" workbookViewId="0">
      <selection activeCell="D60" sqref="D60"/>
    </sheetView>
  </sheetViews>
  <sheetFormatPr defaultColWidth="9.140625" defaultRowHeight="15" x14ac:dyDescent="0.25"/>
  <cols>
    <col min="1" max="1" width="9.140625" style="153"/>
    <col min="2" max="2" width="35.140625" style="153" bestFit="1" customWidth="1"/>
    <col min="3" max="3" width="76.28515625" style="155" customWidth="1"/>
    <col min="4" max="4" width="16.42578125" style="154" customWidth="1"/>
    <col min="5" max="5" width="52.7109375" style="153" customWidth="1"/>
    <col min="6" max="12" width="10.85546875" style="153" customWidth="1"/>
    <col min="13" max="14" width="24.5703125" style="153" customWidth="1"/>
    <col min="15" max="16384" width="9.140625" style="153"/>
  </cols>
  <sheetData>
    <row r="1" spans="2:12" ht="15.75" thickBot="1" x14ac:dyDescent="0.3"/>
    <row r="2" spans="2:12" ht="24" thickBot="1" x14ac:dyDescent="0.3">
      <c r="B2" s="224" t="s">
        <v>183</v>
      </c>
      <c r="C2" s="225"/>
      <c r="D2" s="225"/>
      <c r="E2" s="226"/>
    </row>
    <row r="3" spans="2:12" x14ac:dyDescent="0.25">
      <c r="B3" s="185"/>
      <c r="C3" s="229" t="s">
        <v>184</v>
      </c>
      <c r="D3" s="230"/>
      <c r="E3" s="231"/>
    </row>
    <row r="4" spans="2:12" x14ac:dyDescent="0.25">
      <c r="B4" s="184"/>
      <c r="C4" s="232"/>
      <c r="D4" s="233"/>
      <c r="E4" s="234"/>
    </row>
    <row r="5" spans="2:12" x14ac:dyDescent="0.25">
      <c r="B5" s="184"/>
      <c r="C5" s="232"/>
      <c r="D5" s="233"/>
      <c r="E5" s="234"/>
    </row>
    <row r="6" spans="2:12" x14ac:dyDescent="0.25">
      <c r="B6" s="184"/>
      <c r="C6" s="235"/>
      <c r="D6" s="236"/>
      <c r="E6" s="237"/>
    </row>
    <row r="7" spans="2:12" x14ac:dyDescent="0.25">
      <c r="B7" s="227"/>
      <c r="D7" s="183" t="s">
        <v>39</v>
      </c>
      <c r="E7" s="59" t="s">
        <v>40</v>
      </c>
      <c r="F7" s="181"/>
      <c r="G7" s="181"/>
      <c r="H7" s="181"/>
      <c r="I7" s="181"/>
      <c r="J7" s="181"/>
      <c r="K7" s="181"/>
      <c r="L7" s="181"/>
    </row>
    <row r="8" spans="2:12" x14ac:dyDescent="0.25">
      <c r="B8" s="227"/>
      <c r="D8" s="182" t="s">
        <v>41</v>
      </c>
      <c r="E8" s="59" t="s">
        <v>42</v>
      </c>
      <c r="F8" s="181"/>
      <c r="G8" s="181"/>
      <c r="H8" s="181"/>
      <c r="I8" s="181"/>
      <c r="J8" s="181"/>
      <c r="K8" s="181"/>
      <c r="L8" s="181"/>
    </row>
    <row r="9" spans="2:12" x14ac:dyDescent="0.25">
      <c r="B9" s="227"/>
      <c r="D9" s="182" t="s">
        <v>43</v>
      </c>
      <c r="E9" s="59" t="s">
        <v>44</v>
      </c>
      <c r="F9" s="181"/>
      <c r="G9" s="181"/>
      <c r="H9" s="181"/>
      <c r="I9" s="181"/>
      <c r="J9" s="181"/>
      <c r="K9" s="181"/>
      <c r="L9" s="181"/>
    </row>
    <row r="10" spans="2:12" s="177" customFormat="1" ht="15.75" thickBot="1" x14ac:dyDescent="0.3">
      <c r="B10" s="228"/>
      <c r="C10" s="180"/>
      <c r="D10" s="61" t="s">
        <v>45</v>
      </c>
      <c r="E10" s="60" t="s">
        <v>46</v>
      </c>
    </row>
    <row r="11" spans="2:12" s="177" customFormat="1" ht="15.75" thickBot="1" x14ac:dyDescent="0.3">
      <c r="C11" s="179"/>
      <c r="D11" s="178"/>
    </row>
    <row r="12" spans="2:12" x14ac:dyDescent="0.25">
      <c r="B12" s="176" t="s">
        <v>181</v>
      </c>
      <c r="C12" s="175" t="s">
        <v>180</v>
      </c>
      <c r="D12" s="174" t="s">
        <v>62</v>
      </c>
      <c r="E12" s="173" t="s">
        <v>179</v>
      </c>
      <c r="F12" s="172"/>
      <c r="G12" s="172"/>
      <c r="H12" s="172"/>
      <c r="I12" s="172"/>
      <c r="J12" s="172"/>
      <c r="K12" s="172"/>
      <c r="L12" s="172"/>
    </row>
    <row r="13" spans="2:12" ht="15.75" x14ac:dyDescent="0.25">
      <c r="B13" s="168" t="s">
        <v>178</v>
      </c>
      <c r="C13" s="167"/>
      <c r="D13" s="167"/>
      <c r="E13" s="166"/>
      <c r="F13" s="172"/>
      <c r="G13" s="172"/>
      <c r="H13" s="172"/>
      <c r="I13" s="172"/>
      <c r="J13" s="172"/>
      <c r="K13" s="172"/>
      <c r="L13" s="172"/>
    </row>
    <row r="14" spans="2:12" ht="60" x14ac:dyDescent="0.25">
      <c r="B14" s="170" t="s">
        <v>35</v>
      </c>
      <c r="C14" s="169" t="s">
        <v>177</v>
      </c>
      <c r="D14" s="238" t="s">
        <v>41</v>
      </c>
      <c r="E14" s="161"/>
    </row>
    <row r="15" spans="2:12" ht="45" x14ac:dyDescent="0.25">
      <c r="B15" s="170" t="s">
        <v>36</v>
      </c>
      <c r="C15" s="169" t="s">
        <v>176</v>
      </c>
      <c r="D15" s="238" t="s">
        <v>41</v>
      </c>
      <c r="E15" s="161"/>
    </row>
    <row r="16" spans="2:12" ht="120" x14ac:dyDescent="0.25">
      <c r="B16" s="170" t="s">
        <v>71</v>
      </c>
      <c r="C16" s="169" t="s">
        <v>175</v>
      </c>
      <c r="D16" s="238" t="s">
        <v>41</v>
      </c>
      <c r="E16" s="161"/>
    </row>
    <row r="17" spans="2:12" ht="45" x14ac:dyDescent="0.25">
      <c r="B17" s="170" t="s">
        <v>72</v>
      </c>
      <c r="C17" s="169" t="s">
        <v>174</v>
      </c>
      <c r="D17" s="238" t="s">
        <v>41</v>
      </c>
      <c r="E17" s="161"/>
    </row>
    <row r="18" spans="2:12" x14ac:dyDescent="0.25">
      <c r="B18" s="170" t="s">
        <v>73</v>
      </c>
      <c r="C18" s="169" t="s">
        <v>173</v>
      </c>
      <c r="D18" s="238" t="s">
        <v>41</v>
      </c>
      <c r="E18" s="161"/>
    </row>
    <row r="19" spans="2:12" ht="15.75" x14ac:dyDescent="0.25">
      <c r="B19" s="168" t="s">
        <v>172</v>
      </c>
      <c r="C19" s="167"/>
      <c r="D19" s="167"/>
      <c r="E19" s="166"/>
      <c r="F19" s="172"/>
      <c r="G19" s="172"/>
      <c r="H19" s="172"/>
      <c r="I19" s="172"/>
      <c r="J19" s="172"/>
      <c r="K19" s="172"/>
      <c r="L19" s="172"/>
    </row>
    <row r="20" spans="2:12" ht="90" x14ac:dyDescent="0.25">
      <c r="B20" s="170" t="s">
        <v>74</v>
      </c>
      <c r="C20" s="169" t="s">
        <v>171</v>
      </c>
      <c r="D20" s="238" t="s">
        <v>41</v>
      </c>
      <c r="E20" s="161"/>
      <c r="F20" s="172"/>
      <c r="G20" s="172"/>
      <c r="H20" s="172"/>
      <c r="I20" s="172"/>
      <c r="J20" s="172"/>
      <c r="K20" s="172"/>
      <c r="L20" s="172"/>
    </row>
    <row r="21" spans="2:12" ht="90" x14ac:dyDescent="0.25">
      <c r="B21" s="170" t="s">
        <v>75</v>
      </c>
      <c r="C21" s="169" t="s">
        <v>170</v>
      </c>
      <c r="D21" s="238" t="s">
        <v>41</v>
      </c>
      <c r="E21" s="161"/>
    </row>
    <row r="22" spans="2:12" ht="30" x14ac:dyDescent="0.25">
      <c r="B22" s="170" t="s">
        <v>55</v>
      </c>
      <c r="C22" s="169" t="s">
        <v>169</v>
      </c>
      <c r="D22" s="238" t="s">
        <v>41</v>
      </c>
      <c r="E22" s="161"/>
    </row>
    <row r="23" spans="2:12" ht="60" x14ac:dyDescent="0.25">
      <c r="B23" s="171" t="s">
        <v>168</v>
      </c>
      <c r="C23" s="169" t="s">
        <v>167</v>
      </c>
      <c r="D23" s="238" t="s">
        <v>41</v>
      </c>
      <c r="E23" s="161"/>
    </row>
    <row r="24" spans="2:12" ht="60" x14ac:dyDescent="0.25">
      <c r="B24" s="170" t="s">
        <v>37</v>
      </c>
      <c r="C24" s="169" t="s">
        <v>166</v>
      </c>
      <c r="D24" s="238" t="s">
        <v>41</v>
      </c>
      <c r="E24" s="161"/>
    </row>
    <row r="25" spans="2:12" ht="165" x14ac:dyDescent="0.25">
      <c r="B25" s="170" t="s">
        <v>76</v>
      </c>
      <c r="C25" s="169" t="s">
        <v>165</v>
      </c>
      <c r="D25" s="238" t="s">
        <v>41</v>
      </c>
      <c r="E25" s="161"/>
    </row>
    <row r="26" spans="2:12" ht="57" customHeight="1" x14ac:dyDescent="0.25">
      <c r="B26" s="170" t="s">
        <v>38</v>
      </c>
      <c r="C26" s="169" t="s">
        <v>164</v>
      </c>
      <c r="D26" s="238" t="s">
        <v>41</v>
      </c>
      <c r="E26" s="161"/>
    </row>
    <row r="27" spans="2:12" ht="29.25" customHeight="1" x14ac:dyDescent="0.25">
      <c r="B27" s="170" t="s">
        <v>47</v>
      </c>
      <c r="C27" s="169" t="s">
        <v>163</v>
      </c>
      <c r="D27" s="238" t="s">
        <v>41</v>
      </c>
      <c r="E27" s="161"/>
    </row>
    <row r="28" spans="2:12" ht="30" x14ac:dyDescent="0.25">
      <c r="B28" s="170" t="s">
        <v>84</v>
      </c>
      <c r="C28" s="169" t="s">
        <v>162</v>
      </c>
      <c r="D28" s="238" t="s">
        <v>41</v>
      </c>
      <c r="E28" s="161"/>
    </row>
    <row r="29" spans="2:12" ht="105" x14ac:dyDescent="0.25">
      <c r="B29" s="170" t="s">
        <v>49</v>
      </c>
      <c r="C29" s="169" t="s">
        <v>161</v>
      </c>
      <c r="D29" s="238" t="s">
        <v>41</v>
      </c>
      <c r="E29" s="161"/>
    </row>
    <row r="30" spans="2:12" ht="15.75" x14ac:dyDescent="0.25">
      <c r="B30" s="168" t="s">
        <v>99</v>
      </c>
      <c r="C30" s="167"/>
      <c r="D30" s="167"/>
      <c r="E30" s="166"/>
    </row>
    <row r="31" spans="2:12" ht="30" x14ac:dyDescent="0.25">
      <c r="B31" s="170" t="s">
        <v>48</v>
      </c>
      <c r="C31" s="169" t="s">
        <v>160</v>
      </c>
      <c r="D31" s="238" t="s">
        <v>41</v>
      </c>
      <c r="E31" s="161"/>
    </row>
    <row r="32" spans="2:12" ht="90" x14ac:dyDescent="0.25">
      <c r="B32" s="170" t="s">
        <v>77</v>
      </c>
      <c r="C32" s="169" t="s">
        <v>159</v>
      </c>
      <c r="D32" s="238" t="s">
        <v>41</v>
      </c>
      <c r="E32" s="161"/>
    </row>
    <row r="33" spans="2:5" x14ac:dyDescent="0.25">
      <c r="B33" s="170" t="s">
        <v>78</v>
      </c>
      <c r="C33" s="169" t="s">
        <v>158</v>
      </c>
      <c r="D33" s="238" t="s">
        <v>41</v>
      </c>
      <c r="E33" s="161"/>
    </row>
    <row r="34" spans="2:5" ht="15.75" x14ac:dyDescent="0.25">
      <c r="B34" s="168" t="s">
        <v>50</v>
      </c>
      <c r="C34" s="167"/>
      <c r="D34" s="167"/>
      <c r="E34" s="166"/>
    </row>
    <row r="35" spans="2:5" ht="90" x14ac:dyDescent="0.25">
      <c r="B35" s="170" t="s">
        <v>79</v>
      </c>
      <c r="C35" s="169" t="s">
        <v>157</v>
      </c>
      <c r="D35" s="238" t="s">
        <v>41</v>
      </c>
      <c r="E35" s="161"/>
    </row>
    <row r="36" spans="2:5" ht="60" x14ac:dyDescent="0.25">
      <c r="B36" s="170" t="s">
        <v>80</v>
      </c>
      <c r="C36" s="169" t="s">
        <v>156</v>
      </c>
      <c r="D36" s="238" t="s">
        <v>41</v>
      </c>
      <c r="E36" s="161"/>
    </row>
    <row r="37" spans="2:5" ht="45" x14ac:dyDescent="0.25">
      <c r="B37" s="170" t="s">
        <v>81</v>
      </c>
      <c r="C37" s="169" t="s">
        <v>155</v>
      </c>
      <c r="D37" s="238" t="s">
        <v>39</v>
      </c>
      <c r="E37" s="161"/>
    </row>
    <row r="38" spans="2:5" ht="30" x14ac:dyDescent="0.25">
      <c r="B38" s="170" t="s">
        <v>82</v>
      </c>
      <c r="C38" s="169" t="s">
        <v>154</v>
      </c>
      <c r="D38" s="238" t="s">
        <v>39</v>
      </c>
      <c r="E38" s="161"/>
    </row>
    <row r="39" spans="2:5" ht="15.75" x14ac:dyDescent="0.25">
      <c r="B39" s="168" t="s">
        <v>153</v>
      </c>
      <c r="C39" s="167"/>
      <c r="D39" s="167"/>
      <c r="E39" s="166"/>
    </row>
    <row r="40" spans="2:5" x14ac:dyDescent="0.25">
      <c r="B40" s="170" t="s">
        <v>51</v>
      </c>
      <c r="C40" s="169" t="s">
        <v>152</v>
      </c>
      <c r="D40" s="238" t="s">
        <v>41</v>
      </c>
      <c r="E40" s="161"/>
    </row>
    <row r="41" spans="2:5" ht="30" x14ac:dyDescent="0.25">
      <c r="B41" s="170" t="s">
        <v>151</v>
      </c>
      <c r="C41" s="169" t="s">
        <v>150</v>
      </c>
      <c r="D41" s="238" t="s">
        <v>41</v>
      </c>
      <c r="E41" s="161"/>
    </row>
    <row r="42" spans="2:5" x14ac:dyDescent="0.25">
      <c r="B42" s="170" t="s">
        <v>53</v>
      </c>
      <c r="C42" s="169" t="s">
        <v>149</v>
      </c>
      <c r="D42" s="238" t="s">
        <v>41</v>
      </c>
      <c r="E42" s="161"/>
    </row>
    <row r="43" spans="2:5" ht="90" x14ac:dyDescent="0.25">
      <c r="B43" s="170" t="s">
        <v>52</v>
      </c>
      <c r="C43" s="169" t="s">
        <v>148</v>
      </c>
      <c r="D43" s="238" t="s">
        <v>41</v>
      </c>
      <c r="E43" s="161"/>
    </row>
    <row r="44" spans="2:5" ht="90" x14ac:dyDescent="0.25">
      <c r="B44" s="170" t="s">
        <v>83</v>
      </c>
      <c r="C44" s="169" t="s">
        <v>147</v>
      </c>
      <c r="D44" s="162" t="s">
        <v>45</v>
      </c>
      <c r="E44" s="161"/>
    </row>
    <row r="45" spans="2:5" ht="15.75" x14ac:dyDescent="0.25">
      <c r="B45" s="168" t="s">
        <v>56</v>
      </c>
      <c r="C45" s="167"/>
      <c r="D45" s="167"/>
      <c r="E45" s="166"/>
    </row>
    <row r="46" spans="2:5" ht="75" x14ac:dyDescent="0.25">
      <c r="B46" s="170" t="s">
        <v>54</v>
      </c>
      <c r="C46" s="169" t="s">
        <v>146</v>
      </c>
      <c r="D46" s="238" t="s">
        <v>41</v>
      </c>
      <c r="E46" s="161"/>
    </row>
    <row r="47" spans="2:5" ht="330" x14ac:dyDescent="0.25">
      <c r="B47" s="170" t="s">
        <v>86</v>
      </c>
      <c r="C47" s="169" t="s">
        <v>145</v>
      </c>
      <c r="D47" s="162" t="s">
        <v>45</v>
      </c>
      <c r="E47" s="161"/>
    </row>
    <row r="48" spans="2:5" ht="15.75" x14ac:dyDescent="0.25">
      <c r="B48" s="168" t="s">
        <v>58</v>
      </c>
      <c r="C48" s="167"/>
      <c r="D48" s="167"/>
      <c r="E48" s="166"/>
    </row>
    <row r="49" spans="2:5" ht="127.5" customHeight="1" x14ac:dyDescent="0.25">
      <c r="B49" s="170" t="s">
        <v>58</v>
      </c>
      <c r="C49" s="169" t="s">
        <v>144</v>
      </c>
      <c r="D49" s="162" t="s">
        <v>45</v>
      </c>
      <c r="E49" s="161"/>
    </row>
    <row r="50" spans="2:5" ht="30" x14ac:dyDescent="0.25">
      <c r="B50" s="170" t="s">
        <v>61</v>
      </c>
      <c r="C50" s="169" t="s">
        <v>143</v>
      </c>
      <c r="D50" s="162" t="s">
        <v>45</v>
      </c>
      <c r="E50" s="161"/>
    </row>
    <row r="51" spans="2:5" ht="45" x14ac:dyDescent="0.25">
      <c r="B51" s="170" t="s">
        <v>87</v>
      </c>
      <c r="C51" s="169" t="s">
        <v>142</v>
      </c>
      <c r="D51" s="162" t="s">
        <v>45</v>
      </c>
      <c r="E51" s="161"/>
    </row>
    <row r="52" spans="2:5" ht="35.25" customHeight="1" x14ac:dyDescent="0.25">
      <c r="B52" s="170" t="s">
        <v>57</v>
      </c>
      <c r="C52" s="169" t="s">
        <v>141</v>
      </c>
      <c r="D52" s="162" t="s">
        <v>45</v>
      </c>
      <c r="E52" s="161"/>
    </row>
    <row r="53" spans="2:5" ht="30" x14ac:dyDescent="0.25">
      <c r="B53" s="170" t="s">
        <v>88</v>
      </c>
      <c r="C53" s="169" t="s">
        <v>140</v>
      </c>
      <c r="D53" s="162" t="s">
        <v>45</v>
      </c>
      <c r="E53" s="161"/>
    </row>
    <row r="54" spans="2:5" ht="60" x14ac:dyDescent="0.25">
      <c r="B54" s="170" t="s">
        <v>89</v>
      </c>
      <c r="C54" s="169" t="s">
        <v>139</v>
      </c>
      <c r="D54" s="162" t="s">
        <v>45</v>
      </c>
      <c r="E54" s="161"/>
    </row>
    <row r="55" spans="2:5" ht="90" x14ac:dyDescent="0.25">
      <c r="B55" s="170" t="s">
        <v>90</v>
      </c>
      <c r="C55" s="169" t="s">
        <v>138</v>
      </c>
      <c r="D55" s="162" t="s">
        <v>45</v>
      </c>
      <c r="E55" s="161"/>
    </row>
    <row r="56" spans="2:5" ht="30" x14ac:dyDescent="0.25">
      <c r="B56" s="170" t="s">
        <v>91</v>
      </c>
      <c r="C56" s="169" t="s">
        <v>137</v>
      </c>
      <c r="D56" s="162" t="s">
        <v>45</v>
      </c>
      <c r="E56" s="161"/>
    </row>
    <row r="57" spans="2:5" ht="15.75" x14ac:dyDescent="0.25">
      <c r="B57" s="168" t="s">
        <v>101</v>
      </c>
      <c r="C57" s="167"/>
      <c r="D57" s="167"/>
      <c r="E57" s="166"/>
    </row>
    <row r="58" spans="2:5" x14ac:dyDescent="0.25">
      <c r="B58" s="170" t="s">
        <v>60</v>
      </c>
      <c r="C58" s="169" t="s">
        <v>136</v>
      </c>
      <c r="D58" s="162" t="s">
        <v>45</v>
      </c>
      <c r="E58" s="161"/>
    </row>
    <row r="59" spans="2:5" ht="45" x14ac:dyDescent="0.25">
      <c r="B59" s="170" t="s">
        <v>85</v>
      </c>
      <c r="C59" s="169" t="s">
        <v>135</v>
      </c>
      <c r="D59" s="162" t="s">
        <v>45</v>
      </c>
      <c r="E59" s="161"/>
    </row>
    <row r="60" spans="2:5" ht="90" x14ac:dyDescent="0.25">
      <c r="B60" s="170" t="s">
        <v>59</v>
      </c>
      <c r="C60" s="169" t="s">
        <v>134</v>
      </c>
      <c r="D60" s="162" t="s">
        <v>45</v>
      </c>
      <c r="E60" s="161"/>
    </row>
    <row r="61" spans="2:5" ht="15.75" x14ac:dyDescent="0.25">
      <c r="B61" s="168" t="s">
        <v>133</v>
      </c>
      <c r="C61" s="167"/>
      <c r="D61" s="167"/>
      <c r="E61" s="166"/>
    </row>
    <row r="62" spans="2:5" x14ac:dyDescent="0.25">
      <c r="B62" s="164" t="s">
        <v>92</v>
      </c>
      <c r="C62" s="165" t="s">
        <v>132</v>
      </c>
      <c r="D62" s="162" t="s">
        <v>39</v>
      </c>
      <c r="E62" s="161" t="s">
        <v>128</v>
      </c>
    </row>
    <row r="63" spans="2:5" ht="30" x14ac:dyDescent="0.25">
      <c r="B63" s="164" t="s">
        <v>93</v>
      </c>
      <c r="C63" s="163" t="s">
        <v>131</v>
      </c>
      <c r="D63" s="162" t="s">
        <v>39</v>
      </c>
      <c r="E63" s="161" t="s">
        <v>128</v>
      </c>
    </row>
    <row r="64" spans="2:5" ht="30" x14ac:dyDescent="0.25">
      <c r="B64" s="164" t="s">
        <v>94</v>
      </c>
      <c r="C64" s="163" t="s">
        <v>130</v>
      </c>
      <c r="D64" s="162" t="s">
        <v>39</v>
      </c>
      <c r="E64" s="161" t="s">
        <v>128</v>
      </c>
    </row>
    <row r="65" spans="2:5" ht="15.75" thickBot="1" x14ac:dyDescent="0.3">
      <c r="B65" s="160" t="s">
        <v>95</v>
      </c>
      <c r="C65" s="159" t="s">
        <v>129</v>
      </c>
      <c r="D65" s="158" t="s">
        <v>39</v>
      </c>
      <c r="E65" s="157" t="s">
        <v>128</v>
      </c>
    </row>
    <row r="81" spans="3:3" x14ac:dyDescent="0.25">
      <c r="C81" s="156"/>
    </row>
    <row r="87" spans="3:3" ht="16.5" customHeight="1" x14ac:dyDescent="0.25"/>
    <row r="96" spans="3:3" x14ac:dyDescent="0.25">
      <c r="C96" s="156"/>
    </row>
    <row r="98" spans="3:3" ht="14.25" customHeight="1" x14ac:dyDescent="0.25">
      <c r="C98" s="156"/>
    </row>
    <row r="99" spans="3:3" ht="14.25" customHeight="1" x14ac:dyDescent="0.25"/>
    <row r="100" spans="3:3" x14ac:dyDescent="0.25">
      <c r="C100" s="156"/>
    </row>
  </sheetData>
  <mergeCells count="3">
    <mergeCell ref="B2:E2"/>
    <mergeCell ref="B7:B10"/>
    <mergeCell ref="C3:E6"/>
  </mergeCells>
  <conditionalFormatting sqref="D49:D56 D58:D65 D30 D7:D18 D34 D39 D44:D45 D47">
    <cfRule type="cellIs" dxfId="87" priority="81" stopIfTrue="1" operator="equal">
      <formula>$D$10</formula>
    </cfRule>
    <cfRule type="cellIs" dxfId="86" priority="82" stopIfTrue="1" operator="equal">
      <formula>$D$9</formula>
    </cfRule>
    <cfRule type="cellIs" dxfId="85" priority="83" stopIfTrue="1" operator="equal">
      <formula>$D$8</formula>
    </cfRule>
    <cfRule type="cellIs" dxfId="84" priority="84" stopIfTrue="1" operator="equal">
      <formula>$D$7</formula>
    </cfRule>
  </conditionalFormatting>
  <conditionalFormatting sqref="D19">
    <cfRule type="cellIs" dxfId="83" priority="77" stopIfTrue="1" operator="equal">
      <formula>$D$10</formula>
    </cfRule>
    <cfRule type="cellIs" dxfId="82" priority="78" stopIfTrue="1" operator="equal">
      <formula>$D$9</formula>
    </cfRule>
    <cfRule type="cellIs" dxfId="81" priority="79" stopIfTrue="1" operator="equal">
      <formula>$D$8</formula>
    </cfRule>
    <cfRule type="cellIs" dxfId="80" priority="80" stopIfTrue="1" operator="equal">
      <formula>$D$7</formula>
    </cfRule>
  </conditionalFormatting>
  <conditionalFormatting sqref="D57">
    <cfRule type="cellIs" dxfId="79" priority="73" stopIfTrue="1" operator="equal">
      <formula>$D$10</formula>
    </cfRule>
    <cfRule type="cellIs" dxfId="78" priority="74" stopIfTrue="1" operator="equal">
      <formula>$D$9</formula>
    </cfRule>
    <cfRule type="cellIs" dxfId="77" priority="75" stopIfTrue="1" operator="equal">
      <formula>$D$8</formula>
    </cfRule>
    <cfRule type="cellIs" dxfId="76" priority="76" stopIfTrue="1" operator="equal">
      <formula>$D$7</formula>
    </cfRule>
  </conditionalFormatting>
  <conditionalFormatting sqref="D48:D50">
    <cfRule type="cellIs" dxfId="75" priority="69" stopIfTrue="1" operator="equal">
      <formula>$D$10</formula>
    </cfRule>
    <cfRule type="cellIs" dxfId="74" priority="70" stopIfTrue="1" operator="equal">
      <formula>$D$9</formula>
    </cfRule>
    <cfRule type="cellIs" dxfId="73" priority="71" stopIfTrue="1" operator="equal">
      <formula>$D$8</formula>
    </cfRule>
    <cfRule type="cellIs" dxfId="72" priority="72" stopIfTrue="1" operator="equal">
      <formula>$D$7</formula>
    </cfRule>
  </conditionalFormatting>
  <conditionalFormatting sqref="D51:D56">
    <cfRule type="cellIs" dxfId="71" priority="65" stopIfTrue="1" operator="equal">
      <formula>$D$10</formula>
    </cfRule>
    <cfRule type="cellIs" dxfId="70" priority="66" stopIfTrue="1" operator="equal">
      <formula>$D$9</formula>
    </cfRule>
    <cfRule type="cellIs" dxfId="69" priority="67" stopIfTrue="1" operator="equal">
      <formula>$D$8</formula>
    </cfRule>
    <cfRule type="cellIs" dxfId="68" priority="68" stopIfTrue="1" operator="equal">
      <formula>$D$7</formula>
    </cfRule>
  </conditionalFormatting>
  <conditionalFormatting sqref="D20:D24">
    <cfRule type="cellIs" dxfId="55" priority="53" stopIfTrue="1" operator="equal">
      <formula>$D$10</formula>
    </cfRule>
    <cfRule type="cellIs" dxfId="54" priority="54" stopIfTrue="1" operator="equal">
      <formula>$D$9</formula>
    </cfRule>
    <cfRule type="cellIs" dxfId="53" priority="55" stopIfTrue="1" operator="equal">
      <formula>$D$8</formula>
    </cfRule>
    <cfRule type="cellIs" dxfId="52" priority="56" stopIfTrue="1" operator="equal">
      <formula>$D$7</formula>
    </cfRule>
  </conditionalFormatting>
  <conditionalFormatting sqref="D25:D29">
    <cfRule type="cellIs" dxfId="51" priority="49" stopIfTrue="1" operator="equal">
      <formula>$D$10</formula>
    </cfRule>
    <cfRule type="cellIs" dxfId="50" priority="50" stopIfTrue="1" operator="equal">
      <formula>$D$9</formula>
    </cfRule>
    <cfRule type="cellIs" dxfId="49" priority="51" stopIfTrue="1" operator="equal">
      <formula>$D$8</formula>
    </cfRule>
    <cfRule type="cellIs" dxfId="48" priority="52" stopIfTrue="1" operator="equal">
      <formula>$D$7</formula>
    </cfRule>
  </conditionalFormatting>
  <conditionalFormatting sqref="D31">
    <cfRule type="cellIs" dxfId="47" priority="45" stopIfTrue="1" operator="equal">
      <formula>$D$10</formula>
    </cfRule>
    <cfRule type="cellIs" dxfId="46" priority="46" stopIfTrue="1" operator="equal">
      <formula>$D$9</formula>
    </cfRule>
    <cfRule type="cellIs" dxfId="45" priority="47" stopIfTrue="1" operator="equal">
      <formula>$D$8</formula>
    </cfRule>
    <cfRule type="cellIs" dxfId="44" priority="48" stopIfTrue="1" operator="equal">
      <formula>$D$7</formula>
    </cfRule>
  </conditionalFormatting>
  <conditionalFormatting sqref="D32">
    <cfRule type="cellIs" dxfId="43" priority="41" stopIfTrue="1" operator="equal">
      <formula>$D$10</formula>
    </cfRule>
    <cfRule type="cellIs" dxfId="42" priority="42" stopIfTrue="1" operator="equal">
      <formula>$D$9</formula>
    </cfRule>
    <cfRule type="cellIs" dxfId="41" priority="43" stopIfTrue="1" operator="equal">
      <formula>$D$8</formula>
    </cfRule>
    <cfRule type="cellIs" dxfId="40" priority="44" stopIfTrue="1" operator="equal">
      <formula>$D$7</formula>
    </cfRule>
  </conditionalFormatting>
  <conditionalFormatting sqref="D33">
    <cfRule type="cellIs" dxfId="39" priority="37" stopIfTrue="1" operator="equal">
      <formula>$D$10</formula>
    </cfRule>
    <cfRule type="cellIs" dxfId="38" priority="38" stopIfTrue="1" operator="equal">
      <formula>$D$9</formula>
    </cfRule>
    <cfRule type="cellIs" dxfId="37" priority="39" stopIfTrue="1" operator="equal">
      <formula>$D$8</formula>
    </cfRule>
    <cfRule type="cellIs" dxfId="36" priority="40" stopIfTrue="1" operator="equal">
      <formula>$D$7</formula>
    </cfRule>
  </conditionalFormatting>
  <conditionalFormatting sqref="D35">
    <cfRule type="cellIs" dxfId="35" priority="33" stopIfTrue="1" operator="equal">
      <formula>$D$10</formula>
    </cfRule>
    <cfRule type="cellIs" dxfId="34" priority="34" stopIfTrue="1" operator="equal">
      <formula>$D$9</formula>
    </cfRule>
    <cfRule type="cellIs" dxfId="33" priority="35" stopIfTrue="1" operator="equal">
      <formula>$D$8</formula>
    </cfRule>
    <cfRule type="cellIs" dxfId="32" priority="36" stopIfTrue="1" operator="equal">
      <formula>$D$7</formula>
    </cfRule>
  </conditionalFormatting>
  <conditionalFormatting sqref="D36">
    <cfRule type="cellIs" dxfId="31" priority="29" stopIfTrue="1" operator="equal">
      <formula>$D$10</formula>
    </cfRule>
    <cfRule type="cellIs" dxfId="30" priority="30" stopIfTrue="1" operator="equal">
      <formula>$D$9</formula>
    </cfRule>
    <cfRule type="cellIs" dxfId="29" priority="31" stopIfTrue="1" operator="equal">
      <formula>$D$8</formula>
    </cfRule>
    <cfRule type="cellIs" dxfId="28" priority="32" stopIfTrue="1" operator="equal">
      <formula>$D$7</formula>
    </cfRule>
  </conditionalFormatting>
  <conditionalFormatting sqref="D37">
    <cfRule type="cellIs" dxfId="27" priority="25" stopIfTrue="1" operator="equal">
      <formula>$D$10</formula>
    </cfRule>
    <cfRule type="cellIs" dxfId="26" priority="26" stopIfTrue="1" operator="equal">
      <formula>$D$9</formula>
    </cfRule>
    <cfRule type="cellIs" dxfId="25" priority="27" stopIfTrue="1" operator="equal">
      <formula>$D$8</formula>
    </cfRule>
    <cfRule type="cellIs" dxfId="24" priority="28" stopIfTrue="1" operator="equal">
      <formula>$D$7</formula>
    </cfRule>
  </conditionalFormatting>
  <conditionalFormatting sqref="D38">
    <cfRule type="cellIs" dxfId="23" priority="21" stopIfTrue="1" operator="equal">
      <formula>$D$10</formula>
    </cfRule>
    <cfRule type="cellIs" dxfId="22" priority="22" stopIfTrue="1" operator="equal">
      <formula>$D$9</formula>
    </cfRule>
    <cfRule type="cellIs" dxfId="21" priority="23" stopIfTrue="1" operator="equal">
      <formula>$D$8</formula>
    </cfRule>
    <cfRule type="cellIs" dxfId="20" priority="24" stopIfTrue="1" operator="equal">
      <formula>$D$7</formula>
    </cfRule>
  </conditionalFormatting>
  <conditionalFormatting sqref="D40">
    <cfRule type="cellIs" dxfId="19" priority="17" stopIfTrue="1" operator="equal">
      <formula>$D$10</formula>
    </cfRule>
    <cfRule type="cellIs" dxfId="18" priority="18" stopIfTrue="1" operator="equal">
      <formula>$D$9</formula>
    </cfRule>
    <cfRule type="cellIs" dxfId="17" priority="19" stopIfTrue="1" operator="equal">
      <formula>$D$8</formula>
    </cfRule>
    <cfRule type="cellIs" dxfId="16" priority="20" stopIfTrue="1" operator="equal">
      <formula>$D$7</formula>
    </cfRule>
  </conditionalFormatting>
  <conditionalFormatting sqref="D41">
    <cfRule type="cellIs" dxfId="15" priority="13" stopIfTrue="1" operator="equal">
      <formula>$D$10</formula>
    </cfRule>
    <cfRule type="cellIs" dxfId="14" priority="14" stopIfTrue="1" operator="equal">
      <formula>$D$9</formula>
    </cfRule>
    <cfRule type="cellIs" dxfId="13" priority="15" stopIfTrue="1" operator="equal">
      <formula>$D$8</formula>
    </cfRule>
    <cfRule type="cellIs" dxfId="12" priority="16" stopIfTrue="1" operator="equal">
      <formula>$D$7</formula>
    </cfRule>
  </conditionalFormatting>
  <conditionalFormatting sqref="D42">
    <cfRule type="cellIs" dxfId="11" priority="9" stopIfTrue="1" operator="equal">
      <formula>$D$10</formula>
    </cfRule>
    <cfRule type="cellIs" dxfId="10" priority="10" stopIfTrue="1" operator="equal">
      <formula>$D$9</formula>
    </cfRule>
    <cfRule type="cellIs" dxfId="9" priority="11" stopIfTrue="1" operator="equal">
      <formula>$D$8</formula>
    </cfRule>
    <cfRule type="cellIs" dxfId="8" priority="12" stopIfTrue="1" operator="equal">
      <formula>$D$7</formula>
    </cfRule>
  </conditionalFormatting>
  <conditionalFormatting sqref="D43">
    <cfRule type="cellIs" dxfId="7" priority="5" stopIfTrue="1" operator="equal">
      <formula>$D$10</formula>
    </cfRule>
    <cfRule type="cellIs" dxfId="6" priority="6" stopIfTrue="1" operator="equal">
      <formula>$D$9</formula>
    </cfRule>
    <cfRule type="cellIs" dxfId="5" priority="7" stopIfTrue="1" operator="equal">
      <formula>$D$8</formula>
    </cfRule>
    <cfRule type="cellIs" dxfId="4" priority="8" stopIfTrue="1" operator="equal">
      <formula>$D$7</formula>
    </cfRule>
  </conditionalFormatting>
  <conditionalFormatting sqref="D46">
    <cfRule type="cellIs" dxfId="3" priority="1" stopIfTrue="1" operator="equal">
      <formula>$D$10</formula>
    </cfRule>
    <cfRule type="cellIs" dxfId="2" priority="2" stopIfTrue="1" operator="equal">
      <formula>$D$9</formula>
    </cfRule>
    <cfRule type="cellIs" dxfId="1" priority="3" stopIfTrue="1" operator="equal">
      <formula>$D$8</formula>
    </cfRule>
    <cfRule type="cellIs" dxfId="0"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47F59407-B435-47F5-B92A-F4A53364397F}">
          <x14:formula1>
            <xm:f>$D$7:$D$10</xm:f>
          </x14:formula1>
          <xm:sqref>D62:D65536 IZ62:IZ65536 SV62:SV65536 ACR62:ACR65536 AMN62:AMN65536 AWJ62:AWJ65536 BGF62:BGF65536 BQB62:BQB65536 BZX62:BZX65536 CJT62:CJT65536 CTP62:CTP65536 DDL62:DDL65536 DNH62:DNH65536 DXD62:DXD65536 EGZ62:EGZ65536 EQV62:EQV65536 FAR62:FAR65536 FKN62:FKN65536 FUJ62:FUJ65536 GEF62:GEF65536 GOB62:GOB65536 GXX62:GXX65536 HHT62:HHT65536 HRP62:HRP65536 IBL62:IBL65536 ILH62:ILH65536 IVD62:IVD65536 JEZ62:JEZ65536 JOV62:JOV65536 JYR62:JYR65536 KIN62:KIN65536 KSJ62:KSJ65536 LCF62:LCF65536 LMB62:LMB65536 LVX62:LVX65536 MFT62:MFT65536 MPP62:MPP65536 MZL62:MZL65536 NJH62:NJH65536 NTD62:NTD65536 OCZ62:OCZ65536 OMV62:OMV65536 OWR62:OWR65536 PGN62:PGN65536 PQJ62:PQJ65536 QAF62:QAF65536 QKB62:QKB65536 QTX62:QTX65536 RDT62:RDT65536 RNP62:RNP65536 RXL62:RXL65536 SHH62:SHH65536 SRD62:SRD65536 TAZ62:TAZ65536 TKV62:TKV65536 TUR62:TUR65536 UEN62:UEN65536 UOJ62:UOJ65536 UYF62:UYF65536 VIB62:VIB65536 VRX62:VRX65536 WBT62:WBT65536 WLP62:WLP65536 WVL62:WVL65536 D65598:D131072 IZ65598:IZ131072 SV65598:SV131072 ACR65598:ACR131072 AMN65598:AMN131072 AWJ65598:AWJ131072 BGF65598:BGF131072 BQB65598:BQB131072 BZX65598:BZX131072 CJT65598:CJT131072 CTP65598:CTP131072 DDL65598:DDL131072 DNH65598:DNH131072 DXD65598:DXD131072 EGZ65598:EGZ131072 EQV65598:EQV131072 FAR65598:FAR131072 FKN65598:FKN131072 FUJ65598:FUJ131072 GEF65598:GEF131072 GOB65598:GOB131072 GXX65598:GXX131072 HHT65598:HHT131072 HRP65598:HRP131072 IBL65598:IBL131072 ILH65598:ILH131072 IVD65598:IVD131072 JEZ65598:JEZ131072 JOV65598:JOV131072 JYR65598:JYR131072 KIN65598:KIN131072 KSJ65598:KSJ131072 LCF65598:LCF131072 LMB65598:LMB131072 LVX65598:LVX131072 MFT65598:MFT131072 MPP65598:MPP131072 MZL65598:MZL131072 NJH65598:NJH131072 NTD65598:NTD131072 OCZ65598:OCZ131072 OMV65598:OMV131072 OWR65598:OWR131072 PGN65598:PGN131072 PQJ65598:PQJ131072 QAF65598:QAF131072 QKB65598:QKB131072 QTX65598:QTX131072 RDT65598:RDT131072 RNP65598:RNP131072 RXL65598:RXL131072 SHH65598:SHH131072 SRD65598:SRD131072 TAZ65598:TAZ131072 TKV65598:TKV131072 TUR65598:TUR131072 UEN65598:UEN131072 UOJ65598:UOJ131072 UYF65598:UYF131072 VIB65598:VIB131072 VRX65598:VRX131072 WBT65598:WBT131072 WLP65598:WLP131072 WVL65598:WVL131072 D131134:D196608 IZ131134:IZ196608 SV131134:SV196608 ACR131134:ACR196608 AMN131134:AMN196608 AWJ131134:AWJ196608 BGF131134:BGF196608 BQB131134:BQB196608 BZX131134:BZX196608 CJT131134:CJT196608 CTP131134:CTP196608 DDL131134:DDL196608 DNH131134:DNH196608 DXD131134:DXD196608 EGZ131134:EGZ196608 EQV131134:EQV196608 FAR131134:FAR196608 FKN131134:FKN196608 FUJ131134:FUJ196608 GEF131134:GEF196608 GOB131134:GOB196608 GXX131134:GXX196608 HHT131134:HHT196608 HRP131134:HRP196608 IBL131134:IBL196608 ILH131134:ILH196608 IVD131134:IVD196608 JEZ131134:JEZ196608 JOV131134:JOV196608 JYR131134:JYR196608 KIN131134:KIN196608 KSJ131134:KSJ196608 LCF131134:LCF196608 LMB131134:LMB196608 LVX131134:LVX196608 MFT131134:MFT196608 MPP131134:MPP196608 MZL131134:MZL196608 NJH131134:NJH196608 NTD131134:NTD196608 OCZ131134:OCZ196608 OMV131134:OMV196608 OWR131134:OWR196608 PGN131134:PGN196608 PQJ131134:PQJ196608 QAF131134:QAF196608 QKB131134:QKB196608 QTX131134:QTX196608 RDT131134:RDT196608 RNP131134:RNP196608 RXL131134:RXL196608 SHH131134:SHH196608 SRD131134:SRD196608 TAZ131134:TAZ196608 TKV131134:TKV196608 TUR131134:TUR196608 UEN131134:UEN196608 UOJ131134:UOJ196608 UYF131134:UYF196608 VIB131134:VIB196608 VRX131134:VRX196608 WBT131134:WBT196608 WLP131134:WLP196608 WVL131134:WVL196608 D196670:D262144 IZ196670:IZ262144 SV196670:SV262144 ACR196670:ACR262144 AMN196670:AMN262144 AWJ196670:AWJ262144 BGF196670:BGF262144 BQB196670:BQB262144 BZX196670:BZX262144 CJT196670:CJT262144 CTP196670:CTP262144 DDL196670:DDL262144 DNH196670:DNH262144 DXD196670:DXD262144 EGZ196670:EGZ262144 EQV196670:EQV262144 FAR196670:FAR262144 FKN196670:FKN262144 FUJ196670:FUJ262144 GEF196670:GEF262144 GOB196670:GOB262144 GXX196670:GXX262144 HHT196670:HHT262144 HRP196670:HRP262144 IBL196670:IBL262144 ILH196670:ILH262144 IVD196670:IVD262144 JEZ196670:JEZ262144 JOV196670:JOV262144 JYR196670:JYR262144 KIN196670:KIN262144 KSJ196670:KSJ262144 LCF196670:LCF262144 LMB196670:LMB262144 LVX196670:LVX262144 MFT196670:MFT262144 MPP196670:MPP262144 MZL196670:MZL262144 NJH196670:NJH262144 NTD196670:NTD262144 OCZ196670:OCZ262144 OMV196670:OMV262144 OWR196670:OWR262144 PGN196670:PGN262144 PQJ196670:PQJ262144 QAF196670:QAF262144 QKB196670:QKB262144 QTX196670:QTX262144 RDT196670:RDT262144 RNP196670:RNP262144 RXL196670:RXL262144 SHH196670:SHH262144 SRD196670:SRD262144 TAZ196670:TAZ262144 TKV196670:TKV262144 TUR196670:TUR262144 UEN196670:UEN262144 UOJ196670:UOJ262144 UYF196670:UYF262144 VIB196670:VIB262144 VRX196670:VRX262144 WBT196670:WBT262144 WLP196670:WLP262144 WVL196670:WVL262144 D262206:D327680 IZ262206:IZ327680 SV262206:SV327680 ACR262206:ACR327680 AMN262206:AMN327680 AWJ262206:AWJ327680 BGF262206:BGF327680 BQB262206:BQB327680 BZX262206:BZX327680 CJT262206:CJT327680 CTP262206:CTP327680 DDL262206:DDL327680 DNH262206:DNH327680 DXD262206:DXD327680 EGZ262206:EGZ327680 EQV262206:EQV327680 FAR262206:FAR327680 FKN262206:FKN327680 FUJ262206:FUJ327680 GEF262206:GEF327680 GOB262206:GOB327680 GXX262206:GXX327680 HHT262206:HHT327680 HRP262206:HRP327680 IBL262206:IBL327680 ILH262206:ILH327680 IVD262206:IVD327680 JEZ262206:JEZ327680 JOV262206:JOV327680 JYR262206:JYR327680 KIN262206:KIN327680 KSJ262206:KSJ327680 LCF262206:LCF327680 LMB262206:LMB327680 LVX262206:LVX327680 MFT262206:MFT327680 MPP262206:MPP327680 MZL262206:MZL327680 NJH262206:NJH327680 NTD262206:NTD327680 OCZ262206:OCZ327680 OMV262206:OMV327680 OWR262206:OWR327680 PGN262206:PGN327680 PQJ262206:PQJ327680 QAF262206:QAF327680 QKB262206:QKB327680 QTX262206:QTX327680 RDT262206:RDT327680 RNP262206:RNP327680 RXL262206:RXL327680 SHH262206:SHH327680 SRD262206:SRD327680 TAZ262206:TAZ327680 TKV262206:TKV327680 TUR262206:TUR327680 UEN262206:UEN327680 UOJ262206:UOJ327680 UYF262206:UYF327680 VIB262206:VIB327680 VRX262206:VRX327680 WBT262206:WBT327680 WLP262206:WLP327680 WVL262206:WVL327680 D327742:D393216 IZ327742:IZ393216 SV327742:SV393216 ACR327742:ACR393216 AMN327742:AMN393216 AWJ327742:AWJ393216 BGF327742:BGF393216 BQB327742:BQB393216 BZX327742:BZX393216 CJT327742:CJT393216 CTP327742:CTP393216 DDL327742:DDL393216 DNH327742:DNH393216 DXD327742:DXD393216 EGZ327742:EGZ393216 EQV327742:EQV393216 FAR327742:FAR393216 FKN327742:FKN393216 FUJ327742:FUJ393216 GEF327742:GEF393216 GOB327742:GOB393216 GXX327742:GXX393216 HHT327742:HHT393216 HRP327742:HRP393216 IBL327742:IBL393216 ILH327742:ILH393216 IVD327742:IVD393216 JEZ327742:JEZ393216 JOV327742:JOV393216 JYR327742:JYR393216 KIN327742:KIN393216 KSJ327742:KSJ393216 LCF327742:LCF393216 LMB327742:LMB393216 LVX327742:LVX393216 MFT327742:MFT393216 MPP327742:MPP393216 MZL327742:MZL393216 NJH327742:NJH393216 NTD327742:NTD393216 OCZ327742:OCZ393216 OMV327742:OMV393216 OWR327742:OWR393216 PGN327742:PGN393216 PQJ327742:PQJ393216 QAF327742:QAF393216 QKB327742:QKB393216 QTX327742:QTX393216 RDT327742:RDT393216 RNP327742:RNP393216 RXL327742:RXL393216 SHH327742:SHH393216 SRD327742:SRD393216 TAZ327742:TAZ393216 TKV327742:TKV393216 TUR327742:TUR393216 UEN327742:UEN393216 UOJ327742:UOJ393216 UYF327742:UYF393216 VIB327742:VIB393216 VRX327742:VRX393216 WBT327742:WBT393216 WLP327742:WLP393216 WVL327742:WVL393216 D393278:D458752 IZ393278:IZ458752 SV393278:SV458752 ACR393278:ACR458752 AMN393278:AMN458752 AWJ393278:AWJ458752 BGF393278:BGF458752 BQB393278:BQB458752 BZX393278:BZX458752 CJT393278:CJT458752 CTP393278:CTP458752 DDL393278:DDL458752 DNH393278:DNH458752 DXD393278:DXD458752 EGZ393278:EGZ458752 EQV393278:EQV458752 FAR393278:FAR458752 FKN393278:FKN458752 FUJ393278:FUJ458752 GEF393278:GEF458752 GOB393278:GOB458752 GXX393278:GXX458752 HHT393278:HHT458752 HRP393278:HRP458752 IBL393278:IBL458752 ILH393278:ILH458752 IVD393278:IVD458752 JEZ393278:JEZ458752 JOV393278:JOV458752 JYR393278:JYR458752 KIN393278:KIN458752 KSJ393278:KSJ458752 LCF393278:LCF458752 LMB393278:LMB458752 LVX393278:LVX458752 MFT393278:MFT458752 MPP393278:MPP458752 MZL393278:MZL458752 NJH393278:NJH458752 NTD393278:NTD458752 OCZ393278:OCZ458752 OMV393278:OMV458752 OWR393278:OWR458752 PGN393278:PGN458752 PQJ393278:PQJ458752 QAF393278:QAF458752 QKB393278:QKB458752 QTX393278:QTX458752 RDT393278:RDT458752 RNP393278:RNP458752 RXL393278:RXL458752 SHH393278:SHH458752 SRD393278:SRD458752 TAZ393278:TAZ458752 TKV393278:TKV458752 TUR393278:TUR458752 UEN393278:UEN458752 UOJ393278:UOJ458752 UYF393278:UYF458752 VIB393278:VIB458752 VRX393278:VRX458752 WBT393278:WBT458752 WLP393278:WLP458752 WVL393278:WVL458752 D458814:D524288 IZ458814:IZ524288 SV458814:SV524288 ACR458814:ACR524288 AMN458814:AMN524288 AWJ458814:AWJ524288 BGF458814:BGF524288 BQB458814:BQB524288 BZX458814:BZX524288 CJT458814:CJT524288 CTP458814:CTP524288 DDL458814:DDL524288 DNH458814:DNH524288 DXD458814:DXD524288 EGZ458814:EGZ524288 EQV458814:EQV524288 FAR458814:FAR524288 FKN458814:FKN524288 FUJ458814:FUJ524288 GEF458814:GEF524288 GOB458814:GOB524288 GXX458814:GXX524288 HHT458814:HHT524288 HRP458814:HRP524288 IBL458814:IBL524288 ILH458814:ILH524288 IVD458814:IVD524288 JEZ458814:JEZ524288 JOV458814:JOV524288 JYR458814:JYR524288 KIN458814:KIN524288 KSJ458814:KSJ524288 LCF458814:LCF524288 LMB458814:LMB524288 LVX458814:LVX524288 MFT458814:MFT524288 MPP458814:MPP524288 MZL458814:MZL524288 NJH458814:NJH524288 NTD458814:NTD524288 OCZ458814:OCZ524288 OMV458814:OMV524288 OWR458814:OWR524288 PGN458814:PGN524288 PQJ458814:PQJ524288 QAF458814:QAF524288 QKB458814:QKB524288 QTX458814:QTX524288 RDT458814:RDT524288 RNP458814:RNP524288 RXL458814:RXL524288 SHH458814:SHH524288 SRD458814:SRD524288 TAZ458814:TAZ524288 TKV458814:TKV524288 TUR458814:TUR524288 UEN458814:UEN524288 UOJ458814:UOJ524288 UYF458814:UYF524288 VIB458814:VIB524288 VRX458814:VRX524288 WBT458814:WBT524288 WLP458814:WLP524288 WVL458814:WVL524288 D524350:D589824 IZ524350:IZ589824 SV524350:SV589824 ACR524350:ACR589824 AMN524350:AMN589824 AWJ524350:AWJ589824 BGF524350:BGF589824 BQB524350:BQB589824 BZX524350:BZX589824 CJT524350:CJT589824 CTP524350:CTP589824 DDL524350:DDL589824 DNH524350:DNH589824 DXD524350:DXD589824 EGZ524350:EGZ589824 EQV524350:EQV589824 FAR524350:FAR589824 FKN524350:FKN589824 FUJ524350:FUJ589824 GEF524350:GEF589824 GOB524350:GOB589824 GXX524350:GXX589824 HHT524350:HHT589824 HRP524350:HRP589824 IBL524350:IBL589824 ILH524350:ILH589824 IVD524350:IVD589824 JEZ524350:JEZ589824 JOV524350:JOV589824 JYR524350:JYR589824 KIN524350:KIN589824 KSJ524350:KSJ589824 LCF524350:LCF589824 LMB524350:LMB589824 LVX524350:LVX589824 MFT524350:MFT589824 MPP524350:MPP589824 MZL524350:MZL589824 NJH524350:NJH589824 NTD524350:NTD589824 OCZ524350:OCZ589824 OMV524350:OMV589824 OWR524350:OWR589824 PGN524350:PGN589824 PQJ524350:PQJ589824 QAF524350:QAF589824 QKB524350:QKB589824 QTX524350:QTX589824 RDT524350:RDT589824 RNP524350:RNP589824 RXL524350:RXL589824 SHH524350:SHH589824 SRD524350:SRD589824 TAZ524350:TAZ589824 TKV524350:TKV589824 TUR524350:TUR589824 UEN524350:UEN589824 UOJ524350:UOJ589824 UYF524350:UYF589824 VIB524350:VIB589824 VRX524350:VRX589824 WBT524350:WBT589824 WLP524350:WLP589824 WVL524350:WVL589824 D589886:D655360 IZ589886:IZ655360 SV589886:SV655360 ACR589886:ACR655360 AMN589886:AMN655360 AWJ589886:AWJ655360 BGF589886:BGF655360 BQB589886:BQB655360 BZX589886:BZX655360 CJT589886:CJT655360 CTP589886:CTP655360 DDL589886:DDL655360 DNH589886:DNH655360 DXD589886:DXD655360 EGZ589886:EGZ655360 EQV589886:EQV655360 FAR589886:FAR655360 FKN589886:FKN655360 FUJ589886:FUJ655360 GEF589886:GEF655360 GOB589886:GOB655360 GXX589886:GXX655360 HHT589886:HHT655360 HRP589886:HRP655360 IBL589886:IBL655360 ILH589886:ILH655360 IVD589886:IVD655360 JEZ589886:JEZ655360 JOV589886:JOV655360 JYR589886:JYR655360 KIN589886:KIN655360 KSJ589886:KSJ655360 LCF589886:LCF655360 LMB589886:LMB655360 LVX589886:LVX655360 MFT589886:MFT655360 MPP589886:MPP655360 MZL589886:MZL655360 NJH589886:NJH655360 NTD589886:NTD655360 OCZ589886:OCZ655360 OMV589886:OMV655360 OWR589886:OWR655360 PGN589886:PGN655360 PQJ589886:PQJ655360 QAF589886:QAF655360 QKB589886:QKB655360 QTX589886:QTX655360 RDT589886:RDT655360 RNP589886:RNP655360 RXL589886:RXL655360 SHH589886:SHH655360 SRD589886:SRD655360 TAZ589886:TAZ655360 TKV589886:TKV655360 TUR589886:TUR655360 UEN589886:UEN655360 UOJ589886:UOJ655360 UYF589886:UYF655360 VIB589886:VIB655360 VRX589886:VRX655360 WBT589886:WBT655360 WLP589886:WLP655360 WVL589886:WVL655360 D655422:D720896 IZ655422:IZ720896 SV655422:SV720896 ACR655422:ACR720896 AMN655422:AMN720896 AWJ655422:AWJ720896 BGF655422:BGF720896 BQB655422:BQB720896 BZX655422:BZX720896 CJT655422:CJT720896 CTP655422:CTP720896 DDL655422:DDL720896 DNH655422:DNH720896 DXD655422:DXD720896 EGZ655422:EGZ720896 EQV655422:EQV720896 FAR655422:FAR720896 FKN655422:FKN720896 FUJ655422:FUJ720896 GEF655422:GEF720896 GOB655422:GOB720896 GXX655422:GXX720896 HHT655422:HHT720896 HRP655422:HRP720896 IBL655422:IBL720896 ILH655422:ILH720896 IVD655422:IVD720896 JEZ655422:JEZ720896 JOV655422:JOV720896 JYR655422:JYR720896 KIN655422:KIN720896 KSJ655422:KSJ720896 LCF655422:LCF720896 LMB655422:LMB720896 LVX655422:LVX720896 MFT655422:MFT720896 MPP655422:MPP720896 MZL655422:MZL720896 NJH655422:NJH720896 NTD655422:NTD720896 OCZ655422:OCZ720896 OMV655422:OMV720896 OWR655422:OWR720896 PGN655422:PGN720896 PQJ655422:PQJ720896 QAF655422:QAF720896 QKB655422:QKB720896 QTX655422:QTX720896 RDT655422:RDT720896 RNP655422:RNP720896 RXL655422:RXL720896 SHH655422:SHH720896 SRD655422:SRD720896 TAZ655422:TAZ720896 TKV655422:TKV720896 TUR655422:TUR720896 UEN655422:UEN720896 UOJ655422:UOJ720896 UYF655422:UYF720896 VIB655422:VIB720896 VRX655422:VRX720896 WBT655422:WBT720896 WLP655422:WLP720896 WVL655422:WVL720896 D720958:D786432 IZ720958:IZ786432 SV720958:SV786432 ACR720958:ACR786432 AMN720958:AMN786432 AWJ720958:AWJ786432 BGF720958:BGF786432 BQB720958:BQB786432 BZX720958:BZX786432 CJT720958:CJT786432 CTP720958:CTP786432 DDL720958:DDL786432 DNH720958:DNH786432 DXD720958:DXD786432 EGZ720958:EGZ786432 EQV720958:EQV786432 FAR720958:FAR786432 FKN720958:FKN786432 FUJ720958:FUJ786432 GEF720958:GEF786432 GOB720958:GOB786432 GXX720958:GXX786432 HHT720958:HHT786432 HRP720958:HRP786432 IBL720958:IBL786432 ILH720958:ILH786432 IVD720958:IVD786432 JEZ720958:JEZ786432 JOV720958:JOV786432 JYR720958:JYR786432 KIN720958:KIN786432 KSJ720958:KSJ786432 LCF720958:LCF786432 LMB720958:LMB786432 LVX720958:LVX786432 MFT720958:MFT786432 MPP720958:MPP786432 MZL720958:MZL786432 NJH720958:NJH786432 NTD720958:NTD786432 OCZ720958:OCZ786432 OMV720958:OMV786432 OWR720958:OWR786432 PGN720958:PGN786432 PQJ720958:PQJ786432 QAF720958:QAF786432 QKB720958:QKB786432 QTX720958:QTX786432 RDT720958:RDT786432 RNP720958:RNP786432 RXL720958:RXL786432 SHH720958:SHH786432 SRD720958:SRD786432 TAZ720958:TAZ786432 TKV720958:TKV786432 TUR720958:TUR786432 UEN720958:UEN786432 UOJ720958:UOJ786432 UYF720958:UYF786432 VIB720958:VIB786432 VRX720958:VRX786432 WBT720958:WBT786432 WLP720958:WLP786432 WVL720958:WVL786432 D786494:D851968 IZ786494:IZ851968 SV786494:SV851968 ACR786494:ACR851968 AMN786494:AMN851968 AWJ786494:AWJ851968 BGF786494:BGF851968 BQB786494:BQB851968 BZX786494:BZX851968 CJT786494:CJT851968 CTP786494:CTP851968 DDL786494:DDL851968 DNH786494:DNH851968 DXD786494:DXD851968 EGZ786494:EGZ851968 EQV786494:EQV851968 FAR786494:FAR851968 FKN786494:FKN851968 FUJ786494:FUJ851968 GEF786494:GEF851968 GOB786494:GOB851968 GXX786494:GXX851968 HHT786494:HHT851968 HRP786494:HRP851968 IBL786494:IBL851968 ILH786494:ILH851968 IVD786494:IVD851968 JEZ786494:JEZ851968 JOV786494:JOV851968 JYR786494:JYR851968 KIN786494:KIN851968 KSJ786494:KSJ851968 LCF786494:LCF851968 LMB786494:LMB851968 LVX786494:LVX851968 MFT786494:MFT851968 MPP786494:MPP851968 MZL786494:MZL851968 NJH786494:NJH851968 NTD786494:NTD851968 OCZ786494:OCZ851968 OMV786494:OMV851968 OWR786494:OWR851968 PGN786494:PGN851968 PQJ786494:PQJ851968 QAF786494:QAF851968 QKB786494:QKB851968 QTX786494:QTX851968 RDT786494:RDT851968 RNP786494:RNP851968 RXL786494:RXL851968 SHH786494:SHH851968 SRD786494:SRD851968 TAZ786494:TAZ851968 TKV786494:TKV851968 TUR786494:TUR851968 UEN786494:UEN851968 UOJ786494:UOJ851968 UYF786494:UYF851968 VIB786494:VIB851968 VRX786494:VRX851968 WBT786494:WBT851968 WLP786494:WLP851968 WVL786494:WVL851968 D852030:D917504 IZ852030:IZ917504 SV852030:SV917504 ACR852030:ACR917504 AMN852030:AMN917504 AWJ852030:AWJ917504 BGF852030:BGF917504 BQB852030:BQB917504 BZX852030:BZX917504 CJT852030:CJT917504 CTP852030:CTP917504 DDL852030:DDL917504 DNH852030:DNH917504 DXD852030:DXD917504 EGZ852030:EGZ917504 EQV852030:EQV917504 FAR852030:FAR917504 FKN852030:FKN917504 FUJ852030:FUJ917504 GEF852030:GEF917504 GOB852030:GOB917504 GXX852030:GXX917504 HHT852030:HHT917504 HRP852030:HRP917504 IBL852030:IBL917504 ILH852030:ILH917504 IVD852030:IVD917504 JEZ852030:JEZ917504 JOV852030:JOV917504 JYR852030:JYR917504 KIN852030:KIN917504 KSJ852030:KSJ917504 LCF852030:LCF917504 LMB852030:LMB917504 LVX852030:LVX917504 MFT852030:MFT917504 MPP852030:MPP917504 MZL852030:MZL917504 NJH852030:NJH917504 NTD852030:NTD917504 OCZ852030:OCZ917504 OMV852030:OMV917504 OWR852030:OWR917504 PGN852030:PGN917504 PQJ852030:PQJ917504 QAF852030:QAF917504 QKB852030:QKB917504 QTX852030:QTX917504 RDT852030:RDT917504 RNP852030:RNP917504 RXL852030:RXL917504 SHH852030:SHH917504 SRD852030:SRD917504 TAZ852030:TAZ917504 TKV852030:TKV917504 TUR852030:TUR917504 UEN852030:UEN917504 UOJ852030:UOJ917504 UYF852030:UYF917504 VIB852030:VIB917504 VRX852030:VRX917504 WBT852030:WBT917504 WLP852030:WLP917504 WVL852030:WVL917504 D917566:D983040 IZ917566:IZ983040 SV917566:SV983040 ACR917566:ACR983040 AMN917566:AMN983040 AWJ917566:AWJ983040 BGF917566:BGF983040 BQB917566:BQB983040 BZX917566:BZX983040 CJT917566:CJT983040 CTP917566:CTP983040 DDL917566:DDL983040 DNH917566:DNH983040 DXD917566:DXD983040 EGZ917566:EGZ983040 EQV917566:EQV983040 FAR917566:FAR983040 FKN917566:FKN983040 FUJ917566:FUJ983040 GEF917566:GEF983040 GOB917566:GOB983040 GXX917566:GXX983040 HHT917566:HHT983040 HRP917566:HRP983040 IBL917566:IBL983040 ILH917566:ILH983040 IVD917566:IVD983040 JEZ917566:JEZ983040 JOV917566:JOV983040 JYR917566:JYR983040 KIN917566:KIN983040 KSJ917566:KSJ983040 LCF917566:LCF983040 LMB917566:LMB983040 LVX917566:LVX983040 MFT917566:MFT983040 MPP917566:MPP983040 MZL917566:MZL983040 NJH917566:NJH983040 NTD917566:NTD983040 OCZ917566:OCZ983040 OMV917566:OMV983040 OWR917566:OWR983040 PGN917566:PGN983040 PQJ917566:PQJ983040 QAF917566:QAF983040 QKB917566:QKB983040 QTX917566:QTX983040 RDT917566:RDT983040 RNP917566:RNP983040 RXL917566:RXL983040 SHH917566:SHH983040 SRD917566:SRD983040 TAZ917566:TAZ983040 TKV917566:TKV983040 TUR917566:TUR983040 UEN917566:UEN983040 UOJ917566:UOJ983040 UYF917566:UYF983040 VIB917566:VIB983040 VRX917566:VRX983040 WBT917566:WBT983040 WLP917566:WLP983040 WVL917566:WVL983040 D983102:D1048576 IZ983102:IZ1048576 SV983102:SV1048576 ACR983102:ACR1048576 AMN983102:AMN1048576 AWJ983102:AWJ1048576 BGF983102:BGF1048576 BQB983102:BQB1048576 BZX983102:BZX1048576 CJT983102:CJT1048576 CTP983102:CTP1048576 DDL983102:DDL1048576 DNH983102:DNH1048576 DXD983102:DXD1048576 EGZ983102:EGZ1048576 EQV983102:EQV1048576 FAR983102:FAR1048576 FKN983102:FKN1048576 FUJ983102:FUJ1048576 GEF983102:GEF1048576 GOB983102:GOB1048576 GXX983102:GXX1048576 HHT983102:HHT1048576 HRP983102:HRP1048576 IBL983102:IBL1048576 ILH983102:ILH1048576 IVD983102:IVD1048576 JEZ983102:JEZ1048576 JOV983102:JOV1048576 JYR983102:JYR1048576 KIN983102:KIN1048576 KSJ983102:KSJ1048576 LCF983102:LCF1048576 LMB983102:LMB1048576 LVX983102:LVX1048576 MFT983102:MFT1048576 MPP983102:MPP1048576 MZL983102:MZL1048576 NJH983102:NJH1048576 NTD983102:NTD1048576 OCZ983102:OCZ1048576 OMV983102:OMV1048576 OWR983102:OWR1048576 PGN983102:PGN1048576 PQJ983102:PQJ1048576 QAF983102:QAF1048576 QKB983102:QKB1048576 QTX983102:QTX1048576 RDT983102:RDT1048576 RNP983102:RNP1048576 RXL983102:RXL1048576 SHH983102:SHH1048576 SRD983102:SRD1048576 TAZ983102:TAZ1048576 TKV983102:TKV1048576 TUR983102:TUR1048576 UEN983102:UEN1048576 UOJ983102:UOJ1048576 UYF983102:UYF1048576 VIB983102:VIB1048576 VRX983102:VRX1048576 WBT983102:WBT1048576 WLP983102:WLP1048576 WVL983102:WVL1048576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VIB983098:VIB983100 IZ40:IZ44 SV40:SV44 ACR40:ACR44 AMN40:AMN44 AWJ40:AWJ44 BGF40:BGF44 BQB40:BQB44 BZX40:BZX44 CJT40:CJT44 CTP40:CTP44 DDL40:DDL44 DNH40:DNH44 DXD40:DXD44 EGZ40:EGZ44 EQV40:EQV44 FAR40:FAR44 FKN40:FKN44 FUJ40:FUJ44 GEF40:GEF44 GOB40:GOB44 GXX40:GXX44 HHT40:HHT44 HRP40:HRP44 IBL40:IBL44 ILH40:ILH44 IVD40:IVD44 JEZ40:JEZ44 JOV40:JOV44 JYR40:JYR44 KIN40:KIN44 KSJ40:KSJ44 LCF40:LCF44 LMB40:LMB44 LVX40:LVX44 MFT40:MFT44 MPP40:MPP44 MZL40:MZL44 NJH40:NJH44 NTD40:NTD44 OCZ40:OCZ44 OMV40:OMV44 OWR40:OWR44 PGN40:PGN44 PQJ40:PQJ44 QAF40:QAF44 QKB40:QKB44 QTX40:QTX44 RDT40:RDT44 RNP40:RNP44 RXL40:RXL44 SHH40:SHH44 SRD40:SRD44 TAZ40:TAZ44 TKV40:TKV44 TUR40:TUR44 UEN40:UEN44 UOJ40:UOJ44 UYF40:UYF44 VIB40:VIB44 VRX40:VRX44 WBT40:WBT44 WLP40:WLP44 WVL40:WVL44 D65576:D65580 IZ65576:IZ65580 SV65576:SV65580 ACR65576:ACR65580 AMN65576:AMN65580 AWJ65576:AWJ65580 BGF65576:BGF65580 BQB65576:BQB65580 BZX65576:BZX65580 CJT65576:CJT65580 CTP65576:CTP65580 DDL65576:DDL65580 DNH65576:DNH65580 DXD65576:DXD65580 EGZ65576:EGZ65580 EQV65576:EQV65580 FAR65576:FAR65580 FKN65576:FKN65580 FUJ65576:FUJ65580 GEF65576:GEF65580 GOB65576:GOB65580 GXX65576:GXX65580 HHT65576:HHT65580 HRP65576:HRP65580 IBL65576:IBL65580 ILH65576:ILH65580 IVD65576:IVD65580 JEZ65576:JEZ65580 JOV65576:JOV65580 JYR65576:JYR65580 KIN65576:KIN65580 KSJ65576:KSJ65580 LCF65576:LCF65580 LMB65576:LMB65580 LVX65576:LVX65580 MFT65576:MFT65580 MPP65576:MPP65580 MZL65576:MZL65580 NJH65576:NJH65580 NTD65576:NTD65580 OCZ65576:OCZ65580 OMV65576:OMV65580 OWR65576:OWR65580 PGN65576:PGN65580 PQJ65576:PQJ65580 QAF65576:QAF65580 QKB65576:QKB65580 QTX65576:QTX65580 RDT65576:RDT65580 RNP65576:RNP65580 RXL65576:RXL65580 SHH65576:SHH65580 SRD65576:SRD65580 TAZ65576:TAZ65580 TKV65576:TKV65580 TUR65576:TUR65580 UEN65576:UEN65580 UOJ65576:UOJ65580 UYF65576:UYF65580 VIB65576:VIB65580 VRX65576:VRX65580 WBT65576:WBT65580 WLP65576:WLP65580 WVL65576:WVL65580 D131112:D131116 IZ131112:IZ131116 SV131112:SV131116 ACR131112:ACR131116 AMN131112:AMN131116 AWJ131112:AWJ131116 BGF131112:BGF131116 BQB131112:BQB131116 BZX131112:BZX131116 CJT131112:CJT131116 CTP131112:CTP131116 DDL131112:DDL131116 DNH131112:DNH131116 DXD131112:DXD131116 EGZ131112:EGZ131116 EQV131112:EQV131116 FAR131112:FAR131116 FKN131112:FKN131116 FUJ131112:FUJ131116 GEF131112:GEF131116 GOB131112:GOB131116 GXX131112:GXX131116 HHT131112:HHT131116 HRP131112:HRP131116 IBL131112:IBL131116 ILH131112:ILH131116 IVD131112:IVD131116 JEZ131112:JEZ131116 JOV131112:JOV131116 JYR131112:JYR131116 KIN131112:KIN131116 KSJ131112:KSJ131116 LCF131112:LCF131116 LMB131112:LMB131116 LVX131112:LVX131116 MFT131112:MFT131116 MPP131112:MPP131116 MZL131112:MZL131116 NJH131112:NJH131116 NTD131112:NTD131116 OCZ131112:OCZ131116 OMV131112:OMV131116 OWR131112:OWR131116 PGN131112:PGN131116 PQJ131112:PQJ131116 QAF131112:QAF131116 QKB131112:QKB131116 QTX131112:QTX131116 RDT131112:RDT131116 RNP131112:RNP131116 RXL131112:RXL131116 SHH131112:SHH131116 SRD131112:SRD131116 TAZ131112:TAZ131116 TKV131112:TKV131116 TUR131112:TUR131116 UEN131112:UEN131116 UOJ131112:UOJ131116 UYF131112:UYF131116 VIB131112:VIB131116 VRX131112:VRX131116 WBT131112:WBT131116 WLP131112:WLP131116 WVL131112:WVL131116 D196648:D196652 IZ196648:IZ196652 SV196648:SV196652 ACR196648:ACR196652 AMN196648:AMN196652 AWJ196648:AWJ196652 BGF196648:BGF196652 BQB196648:BQB196652 BZX196648:BZX196652 CJT196648:CJT196652 CTP196648:CTP196652 DDL196648:DDL196652 DNH196648:DNH196652 DXD196648:DXD196652 EGZ196648:EGZ196652 EQV196648:EQV196652 FAR196648:FAR196652 FKN196648:FKN196652 FUJ196648:FUJ196652 GEF196648:GEF196652 GOB196648:GOB196652 GXX196648:GXX196652 HHT196648:HHT196652 HRP196648:HRP196652 IBL196648:IBL196652 ILH196648:ILH196652 IVD196648:IVD196652 JEZ196648:JEZ196652 JOV196648:JOV196652 JYR196648:JYR196652 KIN196648:KIN196652 KSJ196648:KSJ196652 LCF196648:LCF196652 LMB196648:LMB196652 LVX196648:LVX196652 MFT196648:MFT196652 MPP196648:MPP196652 MZL196648:MZL196652 NJH196648:NJH196652 NTD196648:NTD196652 OCZ196648:OCZ196652 OMV196648:OMV196652 OWR196648:OWR196652 PGN196648:PGN196652 PQJ196648:PQJ196652 QAF196648:QAF196652 QKB196648:QKB196652 QTX196648:QTX196652 RDT196648:RDT196652 RNP196648:RNP196652 RXL196648:RXL196652 SHH196648:SHH196652 SRD196648:SRD196652 TAZ196648:TAZ196652 TKV196648:TKV196652 TUR196648:TUR196652 UEN196648:UEN196652 UOJ196648:UOJ196652 UYF196648:UYF196652 VIB196648:VIB196652 VRX196648:VRX196652 WBT196648:WBT196652 WLP196648:WLP196652 WVL196648:WVL196652 D262184:D262188 IZ262184:IZ262188 SV262184:SV262188 ACR262184:ACR262188 AMN262184:AMN262188 AWJ262184:AWJ262188 BGF262184:BGF262188 BQB262184:BQB262188 BZX262184:BZX262188 CJT262184:CJT262188 CTP262184:CTP262188 DDL262184:DDL262188 DNH262184:DNH262188 DXD262184:DXD262188 EGZ262184:EGZ262188 EQV262184:EQV262188 FAR262184:FAR262188 FKN262184:FKN262188 FUJ262184:FUJ262188 GEF262184:GEF262188 GOB262184:GOB262188 GXX262184:GXX262188 HHT262184:HHT262188 HRP262184:HRP262188 IBL262184:IBL262188 ILH262184:ILH262188 IVD262184:IVD262188 JEZ262184:JEZ262188 JOV262184:JOV262188 JYR262184:JYR262188 KIN262184:KIN262188 KSJ262184:KSJ262188 LCF262184:LCF262188 LMB262184:LMB262188 LVX262184:LVX262188 MFT262184:MFT262188 MPP262184:MPP262188 MZL262184:MZL262188 NJH262184:NJH262188 NTD262184:NTD262188 OCZ262184:OCZ262188 OMV262184:OMV262188 OWR262184:OWR262188 PGN262184:PGN262188 PQJ262184:PQJ262188 QAF262184:QAF262188 QKB262184:QKB262188 QTX262184:QTX262188 RDT262184:RDT262188 RNP262184:RNP262188 RXL262184:RXL262188 SHH262184:SHH262188 SRD262184:SRD262188 TAZ262184:TAZ262188 TKV262184:TKV262188 TUR262184:TUR262188 UEN262184:UEN262188 UOJ262184:UOJ262188 UYF262184:UYF262188 VIB262184:VIB262188 VRX262184:VRX262188 WBT262184:WBT262188 WLP262184:WLP262188 WVL262184:WVL262188 D327720:D327724 IZ327720:IZ327724 SV327720:SV327724 ACR327720:ACR327724 AMN327720:AMN327724 AWJ327720:AWJ327724 BGF327720:BGF327724 BQB327720:BQB327724 BZX327720:BZX327724 CJT327720:CJT327724 CTP327720:CTP327724 DDL327720:DDL327724 DNH327720:DNH327724 DXD327720:DXD327724 EGZ327720:EGZ327724 EQV327720:EQV327724 FAR327720:FAR327724 FKN327720:FKN327724 FUJ327720:FUJ327724 GEF327720:GEF327724 GOB327720:GOB327724 GXX327720:GXX327724 HHT327720:HHT327724 HRP327720:HRP327724 IBL327720:IBL327724 ILH327720:ILH327724 IVD327720:IVD327724 JEZ327720:JEZ327724 JOV327720:JOV327724 JYR327720:JYR327724 KIN327720:KIN327724 KSJ327720:KSJ327724 LCF327720:LCF327724 LMB327720:LMB327724 LVX327720:LVX327724 MFT327720:MFT327724 MPP327720:MPP327724 MZL327720:MZL327724 NJH327720:NJH327724 NTD327720:NTD327724 OCZ327720:OCZ327724 OMV327720:OMV327724 OWR327720:OWR327724 PGN327720:PGN327724 PQJ327720:PQJ327724 QAF327720:QAF327724 QKB327720:QKB327724 QTX327720:QTX327724 RDT327720:RDT327724 RNP327720:RNP327724 RXL327720:RXL327724 SHH327720:SHH327724 SRD327720:SRD327724 TAZ327720:TAZ327724 TKV327720:TKV327724 TUR327720:TUR327724 UEN327720:UEN327724 UOJ327720:UOJ327724 UYF327720:UYF327724 VIB327720:VIB327724 VRX327720:VRX327724 WBT327720:WBT327724 WLP327720:WLP327724 WVL327720:WVL327724 D393256:D393260 IZ393256:IZ393260 SV393256:SV393260 ACR393256:ACR393260 AMN393256:AMN393260 AWJ393256:AWJ393260 BGF393256:BGF393260 BQB393256:BQB393260 BZX393256:BZX393260 CJT393256:CJT393260 CTP393256:CTP393260 DDL393256:DDL393260 DNH393256:DNH393260 DXD393256:DXD393260 EGZ393256:EGZ393260 EQV393256:EQV393260 FAR393256:FAR393260 FKN393256:FKN393260 FUJ393256:FUJ393260 GEF393256:GEF393260 GOB393256:GOB393260 GXX393256:GXX393260 HHT393256:HHT393260 HRP393256:HRP393260 IBL393256:IBL393260 ILH393256:ILH393260 IVD393256:IVD393260 JEZ393256:JEZ393260 JOV393256:JOV393260 JYR393256:JYR393260 KIN393256:KIN393260 KSJ393256:KSJ393260 LCF393256:LCF393260 LMB393256:LMB393260 LVX393256:LVX393260 MFT393256:MFT393260 MPP393256:MPP393260 MZL393256:MZL393260 NJH393256:NJH393260 NTD393256:NTD393260 OCZ393256:OCZ393260 OMV393256:OMV393260 OWR393256:OWR393260 PGN393256:PGN393260 PQJ393256:PQJ393260 QAF393256:QAF393260 QKB393256:QKB393260 QTX393256:QTX393260 RDT393256:RDT393260 RNP393256:RNP393260 RXL393256:RXL393260 SHH393256:SHH393260 SRD393256:SRD393260 TAZ393256:TAZ393260 TKV393256:TKV393260 TUR393256:TUR393260 UEN393256:UEN393260 UOJ393256:UOJ393260 UYF393256:UYF393260 VIB393256:VIB393260 VRX393256:VRX393260 WBT393256:WBT393260 WLP393256:WLP393260 WVL393256:WVL393260 D458792:D458796 IZ458792:IZ458796 SV458792:SV458796 ACR458792:ACR458796 AMN458792:AMN458796 AWJ458792:AWJ458796 BGF458792:BGF458796 BQB458792:BQB458796 BZX458792:BZX458796 CJT458792:CJT458796 CTP458792:CTP458796 DDL458792:DDL458796 DNH458792:DNH458796 DXD458792:DXD458796 EGZ458792:EGZ458796 EQV458792:EQV458796 FAR458792:FAR458796 FKN458792:FKN458796 FUJ458792:FUJ458796 GEF458792:GEF458796 GOB458792:GOB458796 GXX458792:GXX458796 HHT458792:HHT458796 HRP458792:HRP458796 IBL458792:IBL458796 ILH458792:ILH458796 IVD458792:IVD458796 JEZ458792:JEZ458796 JOV458792:JOV458796 JYR458792:JYR458796 KIN458792:KIN458796 KSJ458792:KSJ458796 LCF458792:LCF458796 LMB458792:LMB458796 LVX458792:LVX458796 MFT458792:MFT458796 MPP458792:MPP458796 MZL458792:MZL458796 NJH458792:NJH458796 NTD458792:NTD458796 OCZ458792:OCZ458796 OMV458792:OMV458796 OWR458792:OWR458796 PGN458792:PGN458796 PQJ458792:PQJ458796 QAF458792:QAF458796 QKB458792:QKB458796 QTX458792:QTX458796 RDT458792:RDT458796 RNP458792:RNP458796 RXL458792:RXL458796 SHH458792:SHH458796 SRD458792:SRD458796 TAZ458792:TAZ458796 TKV458792:TKV458796 TUR458792:TUR458796 UEN458792:UEN458796 UOJ458792:UOJ458796 UYF458792:UYF458796 VIB458792:VIB458796 VRX458792:VRX458796 WBT458792:WBT458796 WLP458792:WLP458796 WVL458792:WVL458796 D524328:D524332 IZ524328:IZ524332 SV524328:SV524332 ACR524328:ACR524332 AMN524328:AMN524332 AWJ524328:AWJ524332 BGF524328:BGF524332 BQB524328:BQB524332 BZX524328:BZX524332 CJT524328:CJT524332 CTP524328:CTP524332 DDL524328:DDL524332 DNH524328:DNH524332 DXD524328:DXD524332 EGZ524328:EGZ524332 EQV524328:EQV524332 FAR524328:FAR524332 FKN524328:FKN524332 FUJ524328:FUJ524332 GEF524328:GEF524332 GOB524328:GOB524332 GXX524328:GXX524332 HHT524328:HHT524332 HRP524328:HRP524332 IBL524328:IBL524332 ILH524328:ILH524332 IVD524328:IVD524332 JEZ524328:JEZ524332 JOV524328:JOV524332 JYR524328:JYR524332 KIN524328:KIN524332 KSJ524328:KSJ524332 LCF524328:LCF524332 LMB524328:LMB524332 LVX524328:LVX524332 MFT524328:MFT524332 MPP524328:MPP524332 MZL524328:MZL524332 NJH524328:NJH524332 NTD524328:NTD524332 OCZ524328:OCZ524332 OMV524328:OMV524332 OWR524328:OWR524332 PGN524328:PGN524332 PQJ524328:PQJ524332 QAF524328:QAF524332 QKB524328:QKB524332 QTX524328:QTX524332 RDT524328:RDT524332 RNP524328:RNP524332 RXL524328:RXL524332 SHH524328:SHH524332 SRD524328:SRD524332 TAZ524328:TAZ524332 TKV524328:TKV524332 TUR524328:TUR524332 UEN524328:UEN524332 UOJ524328:UOJ524332 UYF524328:UYF524332 VIB524328:VIB524332 VRX524328:VRX524332 WBT524328:WBT524332 WLP524328:WLP524332 WVL524328:WVL524332 D589864:D589868 IZ589864:IZ589868 SV589864:SV589868 ACR589864:ACR589868 AMN589864:AMN589868 AWJ589864:AWJ589868 BGF589864:BGF589868 BQB589864:BQB589868 BZX589864:BZX589868 CJT589864:CJT589868 CTP589864:CTP589868 DDL589864:DDL589868 DNH589864:DNH589868 DXD589864:DXD589868 EGZ589864:EGZ589868 EQV589864:EQV589868 FAR589864:FAR589868 FKN589864:FKN589868 FUJ589864:FUJ589868 GEF589864:GEF589868 GOB589864:GOB589868 GXX589864:GXX589868 HHT589864:HHT589868 HRP589864:HRP589868 IBL589864:IBL589868 ILH589864:ILH589868 IVD589864:IVD589868 JEZ589864:JEZ589868 JOV589864:JOV589868 JYR589864:JYR589868 KIN589864:KIN589868 KSJ589864:KSJ589868 LCF589864:LCF589868 LMB589864:LMB589868 LVX589864:LVX589868 MFT589864:MFT589868 MPP589864:MPP589868 MZL589864:MZL589868 NJH589864:NJH589868 NTD589864:NTD589868 OCZ589864:OCZ589868 OMV589864:OMV589868 OWR589864:OWR589868 PGN589864:PGN589868 PQJ589864:PQJ589868 QAF589864:QAF589868 QKB589864:QKB589868 QTX589864:QTX589868 RDT589864:RDT589868 RNP589864:RNP589868 RXL589864:RXL589868 SHH589864:SHH589868 SRD589864:SRD589868 TAZ589864:TAZ589868 TKV589864:TKV589868 TUR589864:TUR589868 UEN589864:UEN589868 UOJ589864:UOJ589868 UYF589864:UYF589868 VIB589864:VIB589868 VRX589864:VRX589868 WBT589864:WBT589868 WLP589864:WLP589868 WVL589864:WVL589868 D655400:D655404 IZ655400:IZ655404 SV655400:SV655404 ACR655400:ACR655404 AMN655400:AMN655404 AWJ655400:AWJ655404 BGF655400:BGF655404 BQB655400:BQB655404 BZX655400:BZX655404 CJT655400:CJT655404 CTP655400:CTP655404 DDL655400:DDL655404 DNH655400:DNH655404 DXD655400:DXD655404 EGZ655400:EGZ655404 EQV655400:EQV655404 FAR655400:FAR655404 FKN655400:FKN655404 FUJ655400:FUJ655404 GEF655400:GEF655404 GOB655400:GOB655404 GXX655400:GXX655404 HHT655400:HHT655404 HRP655400:HRP655404 IBL655400:IBL655404 ILH655400:ILH655404 IVD655400:IVD655404 JEZ655400:JEZ655404 JOV655400:JOV655404 JYR655400:JYR655404 KIN655400:KIN655404 KSJ655400:KSJ655404 LCF655400:LCF655404 LMB655400:LMB655404 LVX655400:LVX655404 MFT655400:MFT655404 MPP655400:MPP655404 MZL655400:MZL655404 NJH655400:NJH655404 NTD655400:NTD655404 OCZ655400:OCZ655404 OMV655400:OMV655404 OWR655400:OWR655404 PGN655400:PGN655404 PQJ655400:PQJ655404 QAF655400:QAF655404 QKB655400:QKB655404 QTX655400:QTX655404 RDT655400:RDT655404 RNP655400:RNP655404 RXL655400:RXL655404 SHH655400:SHH655404 SRD655400:SRD655404 TAZ655400:TAZ655404 TKV655400:TKV655404 TUR655400:TUR655404 UEN655400:UEN655404 UOJ655400:UOJ655404 UYF655400:UYF655404 VIB655400:VIB655404 VRX655400:VRX655404 WBT655400:WBT655404 WLP655400:WLP655404 WVL655400:WVL655404 D720936:D720940 IZ720936:IZ720940 SV720936:SV720940 ACR720936:ACR720940 AMN720936:AMN720940 AWJ720936:AWJ720940 BGF720936:BGF720940 BQB720936:BQB720940 BZX720936:BZX720940 CJT720936:CJT720940 CTP720936:CTP720940 DDL720936:DDL720940 DNH720936:DNH720940 DXD720936:DXD720940 EGZ720936:EGZ720940 EQV720936:EQV720940 FAR720936:FAR720940 FKN720936:FKN720940 FUJ720936:FUJ720940 GEF720936:GEF720940 GOB720936:GOB720940 GXX720936:GXX720940 HHT720936:HHT720940 HRP720936:HRP720940 IBL720936:IBL720940 ILH720936:ILH720940 IVD720936:IVD720940 JEZ720936:JEZ720940 JOV720936:JOV720940 JYR720936:JYR720940 KIN720936:KIN720940 KSJ720936:KSJ720940 LCF720936:LCF720940 LMB720936:LMB720940 LVX720936:LVX720940 MFT720936:MFT720940 MPP720936:MPP720940 MZL720936:MZL720940 NJH720936:NJH720940 NTD720936:NTD720940 OCZ720936:OCZ720940 OMV720936:OMV720940 OWR720936:OWR720940 PGN720936:PGN720940 PQJ720936:PQJ720940 QAF720936:QAF720940 QKB720936:QKB720940 QTX720936:QTX720940 RDT720936:RDT720940 RNP720936:RNP720940 RXL720936:RXL720940 SHH720936:SHH720940 SRD720936:SRD720940 TAZ720936:TAZ720940 TKV720936:TKV720940 TUR720936:TUR720940 UEN720936:UEN720940 UOJ720936:UOJ720940 UYF720936:UYF720940 VIB720936:VIB720940 VRX720936:VRX720940 WBT720936:WBT720940 WLP720936:WLP720940 WVL720936:WVL720940 D786472:D786476 IZ786472:IZ786476 SV786472:SV786476 ACR786472:ACR786476 AMN786472:AMN786476 AWJ786472:AWJ786476 BGF786472:BGF786476 BQB786472:BQB786476 BZX786472:BZX786476 CJT786472:CJT786476 CTP786472:CTP786476 DDL786472:DDL786476 DNH786472:DNH786476 DXD786472:DXD786476 EGZ786472:EGZ786476 EQV786472:EQV786476 FAR786472:FAR786476 FKN786472:FKN786476 FUJ786472:FUJ786476 GEF786472:GEF786476 GOB786472:GOB786476 GXX786472:GXX786476 HHT786472:HHT786476 HRP786472:HRP786476 IBL786472:IBL786476 ILH786472:ILH786476 IVD786472:IVD786476 JEZ786472:JEZ786476 JOV786472:JOV786476 JYR786472:JYR786476 KIN786472:KIN786476 KSJ786472:KSJ786476 LCF786472:LCF786476 LMB786472:LMB786476 LVX786472:LVX786476 MFT786472:MFT786476 MPP786472:MPP786476 MZL786472:MZL786476 NJH786472:NJH786476 NTD786472:NTD786476 OCZ786472:OCZ786476 OMV786472:OMV786476 OWR786472:OWR786476 PGN786472:PGN786476 PQJ786472:PQJ786476 QAF786472:QAF786476 QKB786472:QKB786476 QTX786472:QTX786476 RDT786472:RDT786476 RNP786472:RNP786476 RXL786472:RXL786476 SHH786472:SHH786476 SRD786472:SRD786476 TAZ786472:TAZ786476 TKV786472:TKV786476 TUR786472:TUR786476 UEN786472:UEN786476 UOJ786472:UOJ786476 UYF786472:UYF786476 VIB786472:VIB786476 VRX786472:VRX786476 WBT786472:WBT786476 WLP786472:WLP786476 WVL786472:WVL786476 D852008:D852012 IZ852008:IZ852012 SV852008:SV852012 ACR852008:ACR852012 AMN852008:AMN852012 AWJ852008:AWJ852012 BGF852008:BGF852012 BQB852008:BQB852012 BZX852008:BZX852012 CJT852008:CJT852012 CTP852008:CTP852012 DDL852008:DDL852012 DNH852008:DNH852012 DXD852008:DXD852012 EGZ852008:EGZ852012 EQV852008:EQV852012 FAR852008:FAR852012 FKN852008:FKN852012 FUJ852008:FUJ852012 GEF852008:GEF852012 GOB852008:GOB852012 GXX852008:GXX852012 HHT852008:HHT852012 HRP852008:HRP852012 IBL852008:IBL852012 ILH852008:ILH852012 IVD852008:IVD852012 JEZ852008:JEZ852012 JOV852008:JOV852012 JYR852008:JYR852012 KIN852008:KIN852012 KSJ852008:KSJ852012 LCF852008:LCF852012 LMB852008:LMB852012 LVX852008:LVX852012 MFT852008:MFT852012 MPP852008:MPP852012 MZL852008:MZL852012 NJH852008:NJH852012 NTD852008:NTD852012 OCZ852008:OCZ852012 OMV852008:OMV852012 OWR852008:OWR852012 PGN852008:PGN852012 PQJ852008:PQJ852012 QAF852008:QAF852012 QKB852008:QKB852012 QTX852008:QTX852012 RDT852008:RDT852012 RNP852008:RNP852012 RXL852008:RXL852012 SHH852008:SHH852012 SRD852008:SRD852012 TAZ852008:TAZ852012 TKV852008:TKV852012 TUR852008:TUR852012 UEN852008:UEN852012 UOJ852008:UOJ852012 UYF852008:UYF852012 VIB852008:VIB852012 VRX852008:VRX852012 WBT852008:WBT852012 WLP852008:WLP852012 WVL852008:WVL852012 D917544:D917548 IZ917544:IZ917548 SV917544:SV917548 ACR917544:ACR917548 AMN917544:AMN917548 AWJ917544:AWJ917548 BGF917544:BGF917548 BQB917544:BQB917548 BZX917544:BZX917548 CJT917544:CJT917548 CTP917544:CTP917548 DDL917544:DDL917548 DNH917544:DNH917548 DXD917544:DXD917548 EGZ917544:EGZ917548 EQV917544:EQV917548 FAR917544:FAR917548 FKN917544:FKN917548 FUJ917544:FUJ917548 GEF917544:GEF917548 GOB917544:GOB917548 GXX917544:GXX917548 HHT917544:HHT917548 HRP917544:HRP917548 IBL917544:IBL917548 ILH917544:ILH917548 IVD917544:IVD917548 JEZ917544:JEZ917548 JOV917544:JOV917548 JYR917544:JYR917548 KIN917544:KIN917548 KSJ917544:KSJ917548 LCF917544:LCF917548 LMB917544:LMB917548 LVX917544:LVX917548 MFT917544:MFT917548 MPP917544:MPP917548 MZL917544:MZL917548 NJH917544:NJH917548 NTD917544:NTD917548 OCZ917544:OCZ917548 OMV917544:OMV917548 OWR917544:OWR917548 PGN917544:PGN917548 PQJ917544:PQJ917548 QAF917544:QAF917548 QKB917544:QKB917548 QTX917544:QTX917548 RDT917544:RDT917548 RNP917544:RNP917548 RXL917544:RXL917548 SHH917544:SHH917548 SRD917544:SRD917548 TAZ917544:TAZ917548 TKV917544:TKV917548 TUR917544:TUR917548 UEN917544:UEN917548 UOJ917544:UOJ917548 UYF917544:UYF917548 VIB917544:VIB917548 VRX917544:VRX917548 WBT917544:WBT917548 WLP917544:WLP917548 WVL917544:WVL917548 D983080:D983084 IZ983080:IZ983084 SV983080:SV983084 ACR983080:ACR983084 AMN983080:AMN983084 AWJ983080:AWJ983084 BGF983080:BGF983084 BQB983080:BQB983084 BZX983080:BZX983084 CJT983080:CJT983084 CTP983080:CTP983084 DDL983080:DDL983084 DNH983080:DNH983084 DXD983080:DXD983084 EGZ983080:EGZ983084 EQV983080:EQV983084 FAR983080:FAR983084 FKN983080:FKN983084 FUJ983080:FUJ983084 GEF983080:GEF983084 GOB983080:GOB983084 GXX983080:GXX983084 HHT983080:HHT983084 HRP983080:HRP983084 IBL983080:IBL983084 ILH983080:ILH983084 IVD983080:IVD983084 JEZ983080:JEZ983084 JOV983080:JOV983084 JYR983080:JYR983084 KIN983080:KIN983084 KSJ983080:KSJ983084 LCF983080:LCF983084 LMB983080:LMB983084 LVX983080:LVX983084 MFT983080:MFT983084 MPP983080:MPP983084 MZL983080:MZL983084 NJH983080:NJH983084 NTD983080:NTD983084 OCZ983080:OCZ983084 OMV983080:OMV983084 OWR983080:OWR983084 PGN983080:PGN983084 PQJ983080:PQJ983084 QAF983080:QAF983084 QKB983080:QKB983084 QTX983080:QTX983084 RDT983080:RDT983084 RNP983080:RNP983084 RXL983080:RXL983084 SHH983080:SHH983084 SRD983080:SRD983084 TAZ983080:TAZ983084 TKV983080:TKV983084 TUR983080:TUR983084 UEN983080:UEN983084 UOJ983080:UOJ983084 UYF983080:UYF983084 VIB983080:VIB983084 VRX983080:VRX983084 WBT983080:WBT983084 WLP983080:WLP983084 WVL983080:WVL983084 VRX983098:VRX983100 IZ35:IZ38 SV35:SV38 ACR35:ACR38 AMN35:AMN38 AWJ35:AWJ38 BGF35:BGF38 BQB35:BQB38 BZX35:BZX38 CJT35:CJT38 CTP35:CTP38 DDL35:DDL38 DNH35:DNH38 DXD35:DXD38 EGZ35:EGZ38 EQV35:EQV38 FAR35:FAR38 FKN35:FKN38 FUJ35:FUJ38 GEF35:GEF38 GOB35:GOB38 GXX35:GXX38 HHT35:HHT38 HRP35:HRP38 IBL35:IBL38 ILH35:ILH38 IVD35:IVD38 JEZ35:JEZ38 JOV35:JOV38 JYR35:JYR38 KIN35:KIN38 KSJ35:KSJ38 LCF35:LCF38 LMB35:LMB38 LVX35:LVX38 MFT35:MFT38 MPP35:MPP38 MZL35:MZL38 NJH35:NJH38 NTD35:NTD38 OCZ35:OCZ38 OMV35:OMV38 OWR35:OWR38 PGN35:PGN38 PQJ35:PQJ38 QAF35:QAF38 QKB35:QKB38 QTX35:QTX38 RDT35:RDT38 RNP35:RNP38 RXL35:RXL38 SHH35:SHH38 SRD35:SRD38 TAZ35:TAZ38 TKV35:TKV38 TUR35:TUR38 UEN35:UEN38 UOJ35:UOJ38 UYF35:UYF38 VIB35:VIB38 VRX35:VRX38 WBT35:WBT38 WLP35:WLP38 WVL35:WVL38 D65571:D65574 IZ65571:IZ65574 SV65571:SV65574 ACR65571:ACR65574 AMN65571:AMN65574 AWJ65571:AWJ65574 BGF65571:BGF65574 BQB65571:BQB65574 BZX65571:BZX65574 CJT65571:CJT65574 CTP65571:CTP65574 DDL65571:DDL65574 DNH65571:DNH65574 DXD65571:DXD65574 EGZ65571:EGZ65574 EQV65571:EQV65574 FAR65571:FAR65574 FKN65571:FKN65574 FUJ65571:FUJ65574 GEF65571:GEF65574 GOB65571:GOB65574 GXX65571:GXX65574 HHT65571:HHT65574 HRP65571:HRP65574 IBL65571:IBL65574 ILH65571:ILH65574 IVD65571:IVD65574 JEZ65571:JEZ65574 JOV65571:JOV65574 JYR65571:JYR65574 KIN65571:KIN65574 KSJ65571:KSJ65574 LCF65571:LCF65574 LMB65571:LMB65574 LVX65571:LVX65574 MFT65571:MFT65574 MPP65571:MPP65574 MZL65571:MZL65574 NJH65571:NJH65574 NTD65571:NTD65574 OCZ65571:OCZ65574 OMV65571:OMV65574 OWR65571:OWR65574 PGN65571:PGN65574 PQJ65571:PQJ65574 QAF65571:QAF65574 QKB65571:QKB65574 QTX65571:QTX65574 RDT65571:RDT65574 RNP65571:RNP65574 RXL65571:RXL65574 SHH65571:SHH65574 SRD65571:SRD65574 TAZ65571:TAZ65574 TKV65571:TKV65574 TUR65571:TUR65574 UEN65571:UEN65574 UOJ65571:UOJ65574 UYF65571:UYF65574 VIB65571:VIB65574 VRX65571:VRX65574 WBT65571:WBT65574 WLP65571:WLP65574 WVL65571:WVL65574 D131107:D131110 IZ131107:IZ131110 SV131107:SV131110 ACR131107:ACR131110 AMN131107:AMN131110 AWJ131107:AWJ131110 BGF131107:BGF131110 BQB131107:BQB131110 BZX131107:BZX131110 CJT131107:CJT131110 CTP131107:CTP131110 DDL131107:DDL131110 DNH131107:DNH131110 DXD131107:DXD131110 EGZ131107:EGZ131110 EQV131107:EQV131110 FAR131107:FAR131110 FKN131107:FKN131110 FUJ131107:FUJ131110 GEF131107:GEF131110 GOB131107:GOB131110 GXX131107:GXX131110 HHT131107:HHT131110 HRP131107:HRP131110 IBL131107:IBL131110 ILH131107:ILH131110 IVD131107:IVD131110 JEZ131107:JEZ131110 JOV131107:JOV131110 JYR131107:JYR131110 KIN131107:KIN131110 KSJ131107:KSJ131110 LCF131107:LCF131110 LMB131107:LMB131110 LVX131107:LVX131110 MFT131107:MFT131110 MPP131107:MPP131110 MZL131107:MZL131110 NJH131107:NJH131110 NTD131107:NTD131110 OCZ131107:OCZ131110 OMV131107:OMV131110 OWR131107:OWR131110 PGN131107:PGN131110 PQJ131107:PQJ131110 QAF131107:QAF131110 QKB131107:QKB131110 QTX131107:QTX131110 RDT131107:RDT131110 RNP131107:RNP131110 RXL131107:RXL131110 SHH131107:SHH131110 SRD131107:SRD131110 TAZ131107:TAZ131110 TKV131107:TKV131110 TUR131107:TUR131110 UEN131107:UEN131110 UOJ131107:UOJ131110 UYF131107:UYF131110 VIB131107:VIB131110 VRX131107:VRX131110 WBT131107:WBT131110 WLP131107:WLP131110 WVL131107:WVL131110 D196643:D196646 IZ196643:IZ196646 SV196643:SV196646 ACR196643:ACR196646 AMN196643:AMN196646 AWJ196643:AWJ196646 BGF196643:BGF196646 BQB196643:BQB196646 BZX196643:BZX196646 CJT196643:CJT196646 CTP196643:CTP196646 DDL196643:DDL196646 DNH196643:DNH196646 DXD196643:DXD196646 EGZ196643:EGZ196646 EQV196643:EQV196646 FAR196643:FAR196646 FKN196643:FKN196646 FUJ196643:FUJ196646 GEF196643:GEF196646 GOB196643:GOB196646 GXX196643:GXX196646 HHT196643:HHT196646 HRP196643:HRP196646 IBL196643:IBL196646 ILH196643:ILH196646 IVD196643:IVD196646 JEZ196643:JEZ196646 JOV196643:JOV196646 JYR196643:JYR196646 KIN196643:KIN196646 KSJ196643:KSJ196646 LCF196643:LCF196646 LMB196643:LMB196646 LVX196643:LVX196646 MFT196643:MFT196646 MPP196643:MPP196646 MZL196643:MZL196646 NJH196643:NJH196646 NTD196643:NTD196646 OCZ196643:OCZ196646 OMV196643:OMV196646 OWR196643:OWR196646 PGN196643:PGN196646 PQJ196643:PQJ196646 QAF196643:QAF196646 QKB196643:QKB196646 QTX196643:QTX196646 RDT196643:RDT196646 RNP196643:RNP196646 RXL196643:RXL196646 SHH196643:SHH196646 SRD196643:SRD196646 TAZ196643:TAZ196646 TKV196643:TKV196646 TUR196643:TUR196646 UEN196643:UEN196646 UOJ196643:UOJ196646 UYF196643:UYF196646 VIB196643:VIB196646 VRX196643:VRX196646 WBT196643:WBT196646 WLP196643:WLP196646 WVL196643:WVL196646 D262179:D262182 IZ262179:IZ262182 SV262179:SV262182 ACR262179:ACR262182 AMN262179:AMN262182 AWJ262179:AWJ262182 BGF262179:BGF262182 BQB262179:BQB262182 BZX262179:BZX262182 CJT262179:CJT262182 CTP262179:CTP262182 DDL262179:DDL262182 DNH262179:DNH262182 DXD262179:DXD262182 EGZ262179:EGZ262182 EQV262179:EQV262182 FAR262179:FAR262182 FKN262179:FKN262182 FUJ262179:FUJ262182 GEF262179:GEF262182 GOB262179:GOB262182 GXX262179:GXX262182 HHT262179:HHT262182 HRP262179:HRP262182 IBL262179:IBL262182 ILH262179:ILH262182 IVD262179:IVD262182 JEZ262179:JEZ262182 JOV262179:JOV262182 JYR262179:JYR262182 KIN262179:KIN262182 KSJ262179:KSJ262182 LCF262179:LCF262182 LMB262179:LMB262182 LVX262179:LVX262182 MFT262179:MFT262182 MPP262179:MPP262182 MZL262179:MZL262182 NJH262179:NJH262182 NTD262179:NTD262182 OCZ262179:OCZ262182 OMV262179:OMV262182 OWR262179:OWR262182 PGN262179:PGN262182 PQJ262179:PQJ262182 QAF262179:QAF262182 QKB262179:QKB262182 QTX262179:QTX262182 RDT262179:RDT262182 RNP262179:RNP262182 RXL262179:RXL262182 SHH262179:SHH262182 SRD262179:SRD262182 TAZ262179:TAZ262182 TKV262179:TKV262182 TUR262179:TUR262182 UEN262179:UEN262182 UOJ262179:UOJ262182 UYF262179:UYF262182 VIB262179:VIB262182 VRX262179:VRX262182 WBT262179:WBT262182 WLP262179:WLP262182 WVL262179:WVL262182 D327715:D327718 IZ327715:IZ327718 SV327715:SV327718 ACR327715:ACR327718 AMN327715:AMN327718 AWJ327715:AWJ327718 BGF327715:BGF327718 BQB327715:BQB327718 BZX327715:BZX327718 CJT327715:CJT327718 CTP327715:CTP327718 DDL327715:DDL327718 DNH327715:DNH327718 DXD327715:DXD327718 EGZ327715:EGZ327718 EQV327715:EQV327718 FAR327715:FAR327718 FKN327715:FKN327718 FUJ327715:FUJ327718 GEF327715:GEF327718 GOB327715:GOB327718 GXX327715:GXX327718 HHT327715:HHT327718 HRP327715:HRP327718 IBL327715:IBL327718 ILH327715:ILH327718 IVD327715:IVD327718 JEZ327715:JEZ327718 JOV327715:JOV327718 JYR327715:JYR327718 KIN327715:KIN327718 KSJ327715:KSJ327718 LCF327715:LCF327718 LMB327715:LMB327718 LVX327715:LVX327718 MFT327715:MFT327718 MPP327715:MPP327718 MZL327715:MZL327718 NJH327715:NJH327718 NTD327715:NTD327718 OCZ327715:OCZ327718 OMV327715:OMV327718 OWR327715:OWR327718 PGN327715:PGN327718 PQJ327715:PQJ327718 QAF327715:QAF327718 QKB327715:QKB327718 QTX327715:QTX327718 RDT327715:RDT327718 RNP327715:RNP327718 RXL327715:RXL327718 SHH327715:SHH327718 SRD327715:SRD327718 TAZ327715:TAZ327718 TKV327715:TKV327718 TUR327715:TUR327718 UEN327715:UEN327718 UOJ327715:UOJ327718 UYF327715:UYF327718 VIB327715:VIB327718 VRX327715:VRX327718 WBT327715:WBT327718 WLP327715:WLP327718 WVL327715:WVL327718 D393251:D393254 IZ393251:IZ393254 SV393251:SV393254 ACR393251:ACR393254 AMN393251:AMN393254 AWJ393251:AWJ393254 BGF393251:BGF393254 BQB393251:BQB393254 BZX393251:BZX393254 CJT393251:CJT393254 CTP393251:CTP393254 DDL393251:DDL393254 DNH393251:DNH393254 DXD393251:DXD393254 EGZ393251:EGZ393254 EQV393251:EQV393254 FAR393251:FAR393254 FKN393251:FKN393254 FUJ393251:FUJ393254 GEF393251:GEF393254 GOB393251:GOB393254 GXX393251:GXX393254 HHT393251:HHT393254 HRP393251:HRP393254 IBL393251:IBL393254 ILH393251:ILH393254 IVD393251:IVD393254 JEZ393251:JEZ393254 JOV393251:JOV393254 JYR393251:JYR393254 KIN393251:KIN393254 KSJ393251:KSJ393254 LCF393251:LCF393254 LMB393251:LMB393254 LVX393251:LVX393254 MFT393251:MFT393254 MPP393251:MPP393254 MZL393251:MZL393254 NJH393251:NJH393254 NTD393251:NTD393254 OCZ393251:OCZ393254 OMV393251:OMV393254 OWR393251:OWR393254 PGN393251:PGN393254 PQJ393251:PQJ393254 QAF393251:QAF393254 QKB393251:QKB393254 QTX393251:QTX393254 RDT393251:RDT393254 RNP393251:RNP393254 RXL393251:RXL393254 SHH393251:SHH393254 SRD393251:SRD393254 TAZ393251:TAZ393254 TKV393251:TKV393254 TUR393251:TUR393254 UEN393251:UEN393254 UOJ393251:UOJ393254 UYF393251:UYF393254 VIB393251:VIB393254 VRX393251:VRX393254 WBT393251:WBT393254 WLP393251:WLP393254 WVL393251:WVL393254 D458787:D458790 IZ458787:IZ458790 SV458787:SV458790 ACR458787:ACR458790 AMN458787:AMN458790 AWJ458787:AWJ458790 BGF458787:BGF458790 BQB458787:BQB458790 BZX458787:BZX458790 CJT458787:CJT458790 CTP458787:CTP458790 DDL458787:DDL458790 DNH458787:DNH458790 DXD458787:DXD458790 EGZ458787:EGZ458790 EQV458787:EQV458790 FAR458787:FAR458790 FKN458787:FKN458790 FUJ458787:FUJ458790 GEF458787:GEF458790 GOB458787:GOB458790 GXX458787:GXX458790 HHT458787:HHT458790 HRP458787:HRP458790 IBL458787:IBL458790 ILH458787:ILH458790 IVD458787:IVD458790 JEZ458787:JEZ458790 JOV458787:JOV458790 JYR458787:JYR458790 KIN458787:KIN458790 KSJ458787:KSJ458790 LCF458787:LCF458790 LMB458787:LMB458790 LVX458787:LVX458790 MFT458787:MFT458790 MPP458787:MPP458790 MZL458787:MZL458790 NJH458787:NJH458790 NTD458787:NTD458790 OCZ458787:OCZ458790 OMV458787:OMV458790 OWR458787:OWR458790 PGN458787:PGN458790 PQJ458787:PQJ458790 QAF458787:QAF458790 QKB458787:QKB458790 QTX458787:QTX458790 RDT458787:RDT458790 RNP458787:RNP458790 RXL458787:RXL458790 SHH458787:SHH458790 SRD458787:SRD458790 TAZ458787:TAZ458790 TKV458787:TKV458790 TUR458787:TUR458790 UEN458787:UEN458790 UOJ458787:UOJ458790 UYF458787:UYF458790 VIB458787:VIB458790 VRX458787:VRX458790 WBT458787:WBT458790 WLP458787:WLP458790 WVL458787:WVL458790 D524323:D524326 IZ524323:IZ524326 SV524323:SV524326 ACR524323:ACR524326 AMN524323:AMN524326 AWJ524323:AWJ524326 BGF524323:BGF524326 BQB524323:BQB524326 BZX524323:BZX524326 CJT524323:CJT524326 CTP524323:CTP524326 DDL524323:DDL524326 DNH524323:DNH524326 DXD524323:DXD524326 EGZ524323:EGZ524326 EQV524323:EQV524326 FAR524323:FAR524326 FKN524323:FKN524326 FUJ524323:FUJ524326 GEF524323:GEF524326 GOB524323:GOB524326 GXX524323:GXX524326 HHT524323:HHT524326 HRP524323:HRP524326 IBL524323:IBL524326 ILH524323:ILH524326 IVD524323:IVD524326 JEZ524323:JEZ524326 JOV524323:JOV524326 JYR524323:JYR524326 KIN524323:KIN524326 KSJ524323:KSJ524326 LCF524323:LCF524326 LMB524323:LMB524326 LVX524323:LVX524326 MFT524323:MFT524326 MPP524323:MPP524326 MZL524323:MZL524326 NJH524323:NJH524326 NTD524323:NTD524326 OCZ524323:OCZ524326 OMV524323:OMV524326 OWR524323:OWR524326 PGN524323:PGN524326 PQJ524323:PQJ524326 QAF524323:QAF524326 QKB524323:QKB524326 QTX524323:QTX524326 RDT524323:RDT524326 RNP524323:RNP524326 RXL524323:RXL524326 SHH524323:SHH524326 SRD524323:SRD524326 TAZ524323:TAZ524326 TKV524323:TKV524326 TUR524323:TUR524326 UEN524323:UEN524326 UOJ524323:UOJ524326 UYF524323:UYF524326 VIB524323:VIB524326 VRX524323:VRX524326 WBT524323:WBT524326 WLP524323:WLP524326 WVL524323:WVL524326 D589859:D589862 IZ589859:IZ589862 SV589859:SV589862 ACR589859:ACR589862 AMN589859:AMN589862 AWJ589859:AWJ589862 BGF589859:BGF589862 BQB589859:BQB589862 BZX589859:BZX589862 CJT589859:CJT589862 CTP589859:CTP589862 DDL589859:DDL589862 DNH589859:DNH589862 DXD589859:DXD589862 EGZ589859:EGZ589862 EQV589859:EQV589862 FAR589859:FAR589862 FKN589859:FKN589862 FUJ589859:FUJ589862 GEF589859:GEF589862 GOB589859:GOB589862 GXX589859:GXX589862 HHT589859:HHT589862 HRP589859:HRP589862 IBL589859:IBL589862 ILH589859:ILH589862 IVD589859:IVD589862 JEZ589859:JEZ589862 JOV589859:JOV589862 JYR589859:JYR589862 KIN589859:KIN589862 KSJ589859:KSJ589862 LCF589859:LCF589862 LMB589859:LMB589862 LVX589859:LVX589862 MFT589859:MFT589862 MPP589859:MPP589862 MZL589859:MZL589862 NJH589859:NJH589862 NTD589859:NTD589862 OCZ589859:OCZ589862 OMV589859:OMV589862 OWR589859:OWR589862 PGN589859:PGN589862 PQJ589859:PQJ589862 QAF589859:QAF589862 QKB589859:QKB589862 QTX589859:QTX589862 RDT589859:RDT589862 RNP589859:RNP589862 RXL589859:RXL589862 SHH589859:SHH589862 SRD589859:SRD589862 TAZ589859:TAZ589862 TKV589859:TKV589862 TUR589859:TUR589862 UEN589859:UEN589862 UOJ589859:UOJ589862 UYF589859:UYF589862 VIB589859:VIB589862 VRX589859:VRX589862 WBT589859:WBT589862 WLP589859:WLP589862 WVL589859:WVL589862 D655395:D655398 IZ655395:IZ655398 SV655395:SV655398 ACR655395:ACR655398 AMN655395:AMN655398 AWJ655395:AWJ655398 BGF655395:BGF655398 BQB655395:BQB655398 BZX655395:BZX655398 CJT655395:CJT655398 CTP655395:CTP655398 DDL655395:DDL655398 DNH655395:DNH655398 DXD655395:DXD655398 EGZ655395:EGZ655398 EQV655395:EQV655398 FAR655395:FAR655398 FKN655395:FKN655398 FUJ655395:FUJ655398 GEF655395:GEF655398 GOB655395:GOB655398 GXX655395:GXX655398 HHT655395:HHT655398 HRP655395:HRP655398 IBL655395:IBL655398 ILH655395:ILH655398 IVD655395:IVD655398 JEZ655395:JEZ655398 JOV655395:JOV655398 JYR655395:JYR655398 KIN655395:KIN655398 KSJ655395:KSJ655398 LCF655395:LCF655398 LMB655395:LMB655398 LVX655395:LVX655398 MFT655395:MFT655398 MPP655395:MPP655398 MZL655395:MZL655398 NJH655395:NJH655398 NTD655395:NTD655398 OCZ655395:OCZ655398 OMV655395:OMV655398 OWR655395:OWR655398 PGN655395:PGN655398 PQJ655395:PQJ655398 QAF655395:QAF655398 QKB655395:QKB655398 QTX655395:QTX655398 RDT655395:RDT655398 RNP655395:RNP655398 RXL655395:RXL655398 SHH655395:SHH655398 SRD655395:SRD655398 TAZ655395:TAZ655398 TKV655395:TKV655398 TUR655395:TUR655398 UEN655395:UEN655398 UOJ655395:UOJ655398 UYF655395:UYF655398 VIB655395:VIB655398 VRX655395:VRX655398 WBT655395:WBT655398 WLP655395:WLP655398 WVL655395:WVL655398 D720931:D720934 IZ720931:IZ720934 SV720931:SV720934 ACR720931:ACR720934 AMN720931:AMN720934 AWJ720931:AWJ720934 BGF720931:BGF720934 BQB720931:BQB720934 BZX720931:BZX720934 CJT720931:CJT720934 CTP720931:CTP720934 DDL720931:DDL720934 DNH720931:DNH720934 DXD720931:DXD720934 EGZ720931:EGZ720934 EQV720931:EQV720934 FAR720931:FAR720934 FKN720931:FKN720934 FUJ720931:FUJ720934 GEF720931:GEF720934 GOB720931:GOB720934 GXX720931:GXX720934 HHT720931:HHT720934 HRP720931:HRP720934 IBL720931:IBL720934 ILH720931:ILH720934 IVD720931:IVD720934 JEZ720931:JEZ720934 JOV720931:JOV720934 JYR720931:JYR720934 KIN720931:KIN720934 KSJ720931:KSJ720934 LCF720931:LCF720934 LMB720931:LMB720934 LVX720931:LVX720934 MFT720931:MFT720934 MPP720931:MPP720934 MZL720931:MZL720934 NJH720931:NJH720934 NTD720931:NTD720934 OCZ720931:OCZ720934 OMV720931:OMV720934 OWR720931:OWR720934 PGN720931:PGN720934 PQJ720931:PQJ720934 QAF720931:QAF720934 QKB720931:QKB720934 QTX720931:QTX720934 RDT720931:RDT720934 RNP720931:RNP720934 RXL720931:RXL720934 SHH720931:SHH720934 SRD720931:SRD720934 TAZ720931:TAZ720934 TKV720931:TKV720934 TUR720931:TUR720934 UEN720931:UEN720934 UOJ720931:UOJ720934 UYF720931:UYF720934 VIB720931:VIB720934 VRX720931:VRX720934 WBT720931:WBT720934 WLP720931:WLP720934 WVL720931:WVL720934 D786467:D786470 IZ786467:IZ786470 SV786467:SV786470 ACR786467:ACR786470 AMN786467:AMN786470 AWJ786467:AWJ786470 BGF786467:BGF786470 BQB786467:BQB786470 BZX786467:BZX786470 CJT786467:CJT786470 CTP786467:CTP786470 DDL786467:DDL786470 DNH786467:DNH786470 DXD786467:DXD786470 EGZ786467:EGZ786470 EQV786467:EQV786470 FAR786467:FAR786470 FKN786467:FKN786470 FUJ786467:FUJ786470 GEF786467:GEF786470 GOB786467:GOB786470 GXX786467:GXX786470 HHT786467:HHT786470 HRP786467:HRP786470 IBL786467:IBL786470 ILH786467:ILH786470 IVD786467:IVD786470 JEZ786467:JEZ786470 JOV786467:JOV786470 JYR786467:JYR786470 KIN786467:KIN786470 KSJ786467:KSJ786470 LCF786467:LCF786470 LMB786467:LMB786470 LVX786467:LVX786470 MFT786467:MFT786470 MPP786467:MPP786470 MZL786467:MZL786470 NJH786467:NJH786470 NTD786467:NTD786470 OCZ786467:OCZ786470 OMV786467:OMV786470 OWR786467:OWR786470 PGN786467:PGN786470 PQJ786467:PQJ786470 QAF786467:QAF786470 QKB786467:QKB786470 QTX786467:QTX786470 RDT786467:RDT786470 RNP786467:RNP786470 RXL786467:RXL786470 SHH786467:SHH786470 SRD786467:SRD786470 TAZ786467:TAZ786470 TKV786467:TKV786470 TUR786467:TUR786470 UEN786467:UEN786470 UOJ786467:UOJ786470 UYF786467:UYF786470 VIB786467:VIB786470 VRX786467:VRX786470 WBT786467:WBT786470 WLP786467:WLP786470 WVL786467:WVL786470 D852003:D852006 IZ852003:IZ852006 SV852003:SV852006 ACR852003:ACR852006 AMN852003:AMN852006 AWJ852003:AWJ852006 BGF852003:BGF852006 BQB852003:BQB852006 BZX852003:BZX852006 CJT852003:CJT852006 CTP852003:CTP852006 DDL852003:DDL852006 DNH852003:DNH852006 DXD852003:DXD852006 EGZ852003:EGZ852006 EQV852003:EQV852006 FAR852003:FAR852006 FKN852003:FKN852006 FUJ852003:FUJ852006 GEF852003:GEF852006 GOB852003:GOB852006 GXX852003:GXX852006 HHT852003:HHT852006 HRP852003:HRP852006 IBL852003:IBL852006 ILH852003:ILH852006 IVD852003:IVD852006 JEZ852003:JEZ852006 JOV852003:JOV852006 JYR852003:JYR852006 KIN852003:KIN852006 KSJ852003:KSJ852006 LCF852003:LCF852006 LMB852003:LMB852006 LVX852003:LVX852006 MFT852003:MFT852006 MPP852003:MPP852006 MZL852003:MZL852006 NJH852003:NJH852006 NTD852003:NTD852006 OCZ852003:OCZ852006 OMV852003:OMV852006 OWR852003:OWR852006 PGN852003:PGN852006 PQJ852003:PQJ852006 QAF852003:QAF852006 QKB852003:QKB852006 QTX852003:QTX852006 RDT852003:RDT852006 RNP852003:RNP852006 RXL852003:RXL852006 SHH852003:SHH852006 SRD852003:SRD852006 TAZ852003:TAZ852006 TKV852003:TKV852006 TUR852003:TUR852006 UEN852003:UEN852006 UOJ852003:UOJ852006 UYF852003:UYF852006 VIB852003:VIB852006 VRX852003:VRX852006 WBT852003:WBT852006 WLP852003:WLP852006 WVL852003:WVL852006 D917539:D917542 IZ917539:IZ917542 SV917539:SV917542 ACR917539:ACR917542 AMN917539:AMN917542 AWJ917539:AWJ917542 BGF917539:BGF917542 BQB917539:BQB917542 BZX917539:BZX917542 CJT917539:CJT917542 CTP917539:CTP917542 DDL917539:DDL917542 DNH917539:DNH917542 DXD917539:DXD917542 EGZ917539:EGZ917542 EQV917539:EQV917542 FAR917539:FAR917542 FKN917539:FKN917542 FUJ917539:FUJ917542 GEF917539:GEF917542 GOB917539:GOB917542 GXX917539:GXX917542 HHT917539:HHT917542 HRP917539:HRP917542 IBL917539:IBL917542 ILH917539:ILH917542 IVD917539:IVD917542 JEZ917539:JEZ917542 JOV917539:JOV917542 JYR917539:JYR917542 KIN917539:KIN917542 KSJ917539:KSJ917542 LCF917539:LCF917542 LMB917539:LMB917542 LVX917539:LVX917542 MFT917539:MFT917542 MPP917539:MPP917542 MZL917539:MZL917542 NJH917539:NJH917542 NTD917539:NTD917542 OCZ917539:OCZ917542 OMV917539:OMV917542 OWR917539:OWR917542 PGN917539:PGN917542 PQJ917539:PQJ917542 QAF917539:QAF917542 QKB917539:QKB917542 QTX917539:QTX917542 RDT917539:RDT917542 RNP917539:RNP917542 RXL917539:RXL917542 SHH917539:SHH917542 SRD917539:SRD917542 TAZ917539:TAZ917542 TKV917539:TKV917542 TUR917539:TUR917542 UEN917539:UEN917542 UOJ917539:UOJ917542 UYF917539:UYF917542 VIB917539:VIB917542 VRX917539:VRX917542 WBT917539:WBT917542 WLP917539:WLP917542 WVL917539:WVL917542 D983075:D983078 IZ983075:IZ983078 SV983075:SV983078 ACR983075:ACR983078 AMN983075:AMN983078 AWJ983075:AWJ983078 BGF983075:BGF983078 BQB983075:BQB983078 BZX983075:BZX983078 CJT983075:CJT983078 CTP983075:CTP983078 DDL983075:DDL983078 DNH983075:DNH983078 DXD983075:DXD983078 EGZ983075:EGZ983078 EQV983075:EQV983078 FAR983075:FAR983078 FKN983075:FKN983078 FUJ983075:FUJ983078 GEF983075:GEF983078 GOB983075:GOB983078 GXX983075:GXX983078 HHT983075:HHT983078 HRP983075:HRP983078 IBL983075:IBL983078 ILH983075:ILH983078 IVD983075:IVD983078 JEZ983075:JEZ983078 JOV983075:JOV983078 JYR983075:JYR983078 KIN983075:KIN983078 KSJ983075:KSJ983078 LCF983075:LCF983078 LMB983075:LMB983078 LVX983075:LVX983078 MFT983075:MFT983078 MPP983075:MPP983078 MZL983075:MZL983078 NJH983075:NJH983078 NTD983075:NTD983078 OCZ983075:OCZ983078 OMV983075:OMV983078 OWR983075:OWR983078 PGN983075:PGN983078 PQJ983075:PQJ983078 QAF983075:QAF983078 QKB983075:QKB983078 QTX983075:QTX983078 RDT983075:RDT983078 RNP983075:RNP983078 RXL983075:RXL983078 SHH983075:SHH983078 SRD983075:SRD983078 TAZ983075:TAZ983078 TKV983075:TKV983078 TUR983075:TUR983078 UEN983075:UEN983078 UOJ983075:UOJ983078 UYF983075:UYF983078 VIB983075:VIB983078 VRX983075:VRX983078 WBT983075:WBT983078 WLP983075:WLP983078 WVL983075:WVL983078 WVL983098:WVL983100 IZ14:IZ18 SV14:SV18 ACR14:ACR18 AMN14:AMN18 AWJ14:AWJ18 BGF14:BGF18 BQB14:BQB18 BZX14:BZX18 CJT14:CJT18 CTP14:CTP18 DDL14:DDL18 DNH14:DNH18 DXD14:DXD18 EGZ14:EGZ18 EQV14:EQV18 FAR14:FAR18 FKN14:FKN18 FUJ14:FUJ18 GEF14:GEF18 GOB14:GOB18 GXX14:GXX18 HHT14:HHT18 HRP14:HRP18 IBL14:IBL18 ILH14:ILH18 IVD14:IVD18 JEZ14:JEZ18 JOV14:JOV18 JYR14:JYR18 KIN14:KIN18 KSJ14:KSJ18 LCF14:LCF18 LMB14:LMB18 LVX14:LVX18 MFT14:MFT18 MPP14:MPP18 MZL14:MZL18 NJH14:NJH18 NTD14:NTD18 OCZ14:OCZ18 OMV14:OMV18 OWR14:OWR18 PGN14:PGN18 PQJ14:PQJ18 QAF14:QAF18 QKB14:QKB18 QTX14:QTX18 RDT14:RDT18 RNP14:RNP18 RXL14:RXL18 SHH14:SHH18 SRD14:SRD18 TAZ14:TAZ18 TKV14:TKV18 TUR14:TUR18 UEN14:UEN18 UOJ14:UOJ18 UYF14:UYF18 VIB14:VIB18 VRX14:VRX18 WBT14:WBT18 WLP14:WLP18 WVL14:WVL18 D65550:D65554 IZ65550:IZ65554 SV65550:SV65554 ACR65550:ACR65554 AMN65550:AMN65554 AWJ65550:AWJ65554 BGF65550:BGF65554 BQB65550:BQB65554 BZX65550:BZX65554 CJT65550:CJT65554 CTP65550:CTP65554 DDL65550:DDL65554 DNH65550:DNH65554 DXD65550:DXD65554 EGZ65550:EGZ65554 EQV65550:EQV65554 FAR65550:FAR65554 FKN65550:FKN65554 FUJ65550:FUJ65554 GEF65550:GEF65554 GOB65550:GOB65554 GXX65550:GXX65554 HHT65550:HHT65554 HRP65550:HRP65554 IBL65550:IBL65554 ILH65550:ILH65554 IVD65550:IVD65554 JEZ65550:JEZ65554 JOV65550:JOV65554 JYR65550:JYR65554 KIN65550:KIN65554 KSJ65550:KSJ65554 LCF65550:LCF65554 LMB65550:LMB65554 LVX65550:LVX65554 MFT65550:MFT65554 MPP65550:MPP65554 MZL65550:MZL65554 NJH65550:NJH65554 NTD65550:NTD65554 OCZ65550:OCZ65554 OMV65550:OMV65554 OWR65550:OWR65554 PGN65550:PGN65554 PQJ65550:PQJ65554 QAF65550:QAF65554 QKB65550:QKB65554 QTX65550:QTX65554 RDT65550:RDT65554 RNP65550:RNP65554 RXL65550:RXL65554 SHH65550:SHH65554 SRD65550:SRD65554 TAZ65550:TAZ65554 TKV65550:TKV65554 TUR65550:TUR65554 UEN65550:UEN65554 UOJ65550:UOJ65554 UYF65550:UYF65554 VIB65550:VIB65554 VRX65550:VRX65554 WBT65550:WBT65554 WLP65550:WLP65554 WVL65550:WVL65554 D131086:D131090 IZ131086:IZ131090 SV131086:SV131090 ACR131086:ACR131090 AMN131086:AMN131090 AWJ131086:AWJ131090 BGF131086:BGF131090 BQB131086:BQB131090 BZX131086:BZX131090 CJT131086:CJT131090 CTP131086:CTP131090 DDL131086:DDL131090 DNH131086:DNH131090 DXD131086:DXD131090 EGZ131086:EGZ131090 EQV131086:EQV131090 FAR131086:FAR131090 FKN131086:FKN131090 FUJ131086:FUJ131090 GEF131086:GEF131090 GOB131086:GOB131090 GXX131086:GXX131090 HHT131086:HHT131090 HRP131086:HRP131090 IBL131086:IBL131090 ILH131086:ILH131090 IVD131086:IVD131090 JEZ131086:JEZ131090 JOV131086:JOV131090 JYR131086:JYR131090 KIN131086:KIN131090 KSJ131086:KSJ131090 LCF131086:LCF131090 LMB131086:LMB131090 LVX131086:LVX131090 MFT131086:MFT131090 MPP131086:MPP131090 MZL131086:MZL131090 NJH131086:NJH131090 NTD131086:NTD131090 OCZ131086:OCZ131090 OMV131086:OMV131090 OWR131086:OWR131090 PGN131086:PGN131090 PQJ131086:PQJ131090 QAF131086:QAF131090 QKB131086:QKB131090 QTX131086:QTX131090 RDT131086:RDT131090 RNP131086:RNP131090 RXL131086:RXL131090 SHH131086:SHH131090 SRD131086:SRD131090 TAZ131086:TAZ131090 TKV131086:TKV131090 TUR131086:TUR131090 UEN131086:UEN131090 UOJ131086:UOJ131090 UYF131086:UYF131090 VIB131086:VIB131090 VRX131086:VRX131090 WBT131086:WBT131090 WLP131086:WLP131090 WVL131086:WVL131090 D196622:D196626 IZ196622:IZ196626 SV196622:SV196626 ACR196622:ACR196626 AMN196622:AMN196626 AWJ196622:AWJ196626 BGF196622:BGF196626 BQB196622:BQB196626 BZX196622:BZX196626 CJT196622:CJT196626 CTP196622:CTP196626 DDL196622:DDL196626 DNH196622:DNH196626 DXD196622:DXD196626 EGZ196622:EGZ196626 EQV196622:EQV196626 FAR196622:FAR196626 FKN196622:FKN196626 FUJ196622:FUJ196626 GEF196622:GEF196626 GOB196622:GOB196626 GXX196622:GXX196626 HHT196622:HHT196626 HRP196622:HRP196626 IBL196622:IBL196626 ILH196622:ILH196626 IVD196622:IVD196626 JEZ196622:JEZ196626 JOV196622:JOV196626 JYR196622:JYR196626 KIN196622:KIN196626 KSJ196622:KSJ196626 LCF196622:LCF196626 LMB196622:LMB196626 LVX196622:LVX196626 MFT196622:MFT196626 MPP196622:MPP196626 MZL196622:MZL196626 NJH196622:NJH196626 NTD196622:NTD196626 OCZ196622:OCZ196626 OMV196622:OMV196626 OWR196622:OWR196626 PGN196622:PGN196626 PQJ196622:PQJ196626 QAF196622:QAF196626 QKB196622:QKB196626 QTX196622:QTX196626 RDT196622:RDT196626 RNP196622:RNP196626 RXL196622:RXL196626 SHH196622:SHH196626 SRD196622:SRD196626 TAZ196622:TAZ196626 TKV196622:TKV196626 TUR196622:TUR196626 UEN196622:UEN196626 UOJ196622:UOJ196626 UYF196622:UYF196626 VIB196622:VIB196626 VRX196622:VRX196626 WBT196622:WBT196626 WLP196622:WLP196626 WVL196622:WVL196626 D262158:D262162 IZ262158:IZ262162 SV262158:SV262162 ACR262158:ACR262162 AMN262158:AMN262162 AWJ262158:AWJ262162 BGF262158:BGF262162 BQB262158:BQB262162 BZX262158:BZX262162 CJT262158:CJT262162 CTP262158:CTP262162 DDL262158:DDL262162 DNH262158:DNH262162 DXD262158:DXD262162 EGZ262158:EGZ262162 EQV262158:EQV262162 FAR262158:FAR262162 FKN262158:FKN262162 FUJ262158:FUJ262162 GEF262158:GEF262162 GOB262158:GOB262162 GXX262158:GXX262162 HHT262158:HHT262162 HRP262158:HRP262162 IBL262158:IBL262162 ILH262158:ILH262162 IVD262158:IVD262162 JEZ262158:JEZ262162 JOV262158:JOV262162 JYR262158:JYR262162 KIN262158:KIN262162 KSJ262158:KSJ262162 LCF262158:LCF262162 LMB262158:LMB262162 LVX262158:LVX262162 MFT262158:MFT262162 MPP262158:MPP262162 MZL262158:MZL262162 NJH262158:NJH262162 NTD262158:NTD262162 OCZ262158:OCZ262162 OMV262158:OMV262162 OWR262158:OWR262162 PGN262158:PGN262162 PQJ262158:PQJ262162 QAF262158:QAF262162 QKB262158:QKB262162 QTX262158:QTX262162 RDT262158:RDT262162 RNP262158:RNP262162 RXL262158:RXL262162 SHH262158:SHH262162 SRD262158:SRD262162 TAZ262158:TAZ262162 TKV262158:TKV262162 TUR262158:TUR262162 UEN262158:UEN262162 UOJ262158:UOJ262162 UYF262158:UYF262162 VIB262158:VIB262162 VRX262158:VRX262162 WBT262158:WBT262162 WLP262158:WLP262162 WVL262158:WVL262162 D327694:D327698 IZ327694:IZ327698 SV327694:SV327698 ACR327694:ACR327698 AMN327694:AMN327698 AWJ327694:AWJ327698 BGF327694:BGF327698 BQB327694:BQB327698 BZX327694:BZX327698 CJT327694:CJT327698 CTP327694:CTP327698 DDL327694:DDL327698 DNH327694:DNH327698 DXD327694:DXD327698 EGZ327694:EGZ327698 EQV327694:EQV327698 FAR327694:FAR327698 FKN327694:FKN327698 FUJ327694:FUJ327698 GEF327694:GEF327698 GOB327694:GOB327698 GXX327694:GXX327698 HHT327694:HHT327698 HRP327694:HRP327698 IBL327694:IBL327698 ILH327694:ILH327698 IVD327694:IVD327698 JEZ327694:JEZ327698 JOV327694:JOV327698 JYR327694:JYR327698 KIN327694:KIN327698 KSJ327694:KSJ327698 LCF327694:LCF327698 LMB327694:LMB327698 LVX327694:LVX327698 MFT327694:MFT327698 MPP327694:MPP327698 MZL327694:MZL327698 NJH327694:NJH327698 NTD327694:NTD327698 OCZ327694:OCZ327698 OMV327694:OMV327698 OWR327694:OWR327698 PGN327694:PGN327698 PQJ327694:PQJ327698 QAF327694:QAF327698 QKB327694:QKB327698 QTX327694:QTX327698 RDT327694:RDT327698 RNP327694:RNP327698 RXL327694:RXL327698 SHH327694:SHH327698 SRD327694:SRD327698 TAZ327694:TAZ327698 TKV327694:TKV327698 TUR327694:TUR327698 UEN327694:UEN327698 UOJ327694:UOJ327698 UYF327694:UYF327698 VIB327694:VIB327698 VRX327694:VRX327698 WBT327694:WBT327698 WLP327694:WLP327698 WVL327694:WVL327698 D393230:D393234 IZ393230:IZ393234 SV393230:SV393234 ACR393230:ACR393234 AMN393230:AMN393234 AWJ393230:AWJ393234 BGF393230:BGF393234 BQB393230:BQB393234 BZX393230:BZX393234 CJT393230:CJT393234 CTP393230:CTP393234 DDL393230:DDL393234 DNH393230:DNH393234 DXD393230:DXD393234 EGZ393230:EGZ393234 EQV393230:EQV393234 FAR393230:FAR393234 FKN393230:FKN393234 FUJ393230:FUJ393234 GEF393230:GEF393234 GOB393230:GOB393234 GXX393230:GXX393234 HHT393230:HHT393234 HRP393230:HRP393234 IBL393230:IBL393234 ILH393230:ILH393234 IVD393230:IVD393234 JEZ393230:JEZ393234 JOV393230:JOV393234 JYR393230:JYR393234 KIN393230:KIN393234 KSJ393230:KSJ393234 LCF393230:LCF393234 LMB393230:LMB393234 LVX393230:LVX393234 MFT393230:MFT393234 MPP393230:MPP393234 MZL393230:MZL393234 NJH393230:NJH393234 NTD393230:NTD393234 OCZ393230:OCZ393234 OMV393230:OMV393234 OWR393230:OWR393234 PGN393230:PGN393234 PQJ393230:PQJ393234 QAF393230:QAF393234 QKB393230:QKB393234 QTX393230:QTX393234 RDT393230:RDT393234 RNP393230:RNP393234 RXL393230:RXL393234 SHH393230:SHH393234 SRD393230:SRD393234 TAZ393230:TAZ393234 TKV393230:TKV393234 TUR393230:TUR393234 UEN393230:UEN393234 UOJ393230:UOJ393234 UYF393230:UYF393234 VIB393230:VIB393234 VRX393230:VRX393234 WBT393230:WBT393234 WLP393230:WLP393234 WVL393230:WVL393234 D458766:D458770 IZ458766:IZ458770 SV458766:SV458770 ACR458766:ACR458770 AMN458766:AMN458770 AWJ458766:AWJ458770 BGF458766:BGF458770 BQB458766:BQB458770 BZX458766:BZX458770 CJT458766:CJT458770 CTP458766:CTP458770 DDL458766:DDL458770 DNH458766:DNH458770 DXD458766:DXD458770 EGZ458766:EGZ458770 EQV458766:EQV458770 FAR458766:FAR458770 FKN458766:FKN458770 FUJ458766:FUJ458770 GEF458766:GEF458770 GOB458766:GOB458770 GXX458766:GXX458770 HHT458766:HHT458770 HRP458766:HRP458770 IBL458766:IBL458770 ILH458766:ILH458770 IVD458766:IVD458770 JEZ458766:JEZ458770 JOV458766:JOV458770 JYR458766:JYR458770 KIN458766:KIN458770 KSJ458766:KSJ458770 LCF458766:LCF458770 LMB458766:LMB458770 LVX458766:LVX458770 MFT458766:MFT458770 MPP458766:MPP458770 MZL458766:MZL458770 NJH458766:NJH458770 NTD458766:NTD458770 OCZ458766:OCZ458770 OMV458766:OMV458770 OWR458766:OWR458770 PGN458766:PGN458770 PQJ458766:PQJ458770 QAF458766:QAF458770 QKB458766:QKB458770 QTX458766:QTX458770 RDT458766:RDT458770 RNP458766:RNP458770 RXL458766:RXL458770 SHH458766:SHH458770 SRD458766:SRD458770 TAZ458766:TAZ458770 TKV458766:TKV458770 TUR458766:TUR458770 UEN458766:UEN458770 UOJ458766:UOJ458770 UYF458766:UYF458770 VIB458766:VIB458770 VRX458766:VRX458770 WBT458766:WBT458770 WLP458766:WLP458770 WVL458766:WVL458770 D524302:D524306 IZ524302:IZ524306 SV524302:SV524306 ACR524302:ACR524306 AMN524302:AMN524306 AWJ524302:AWJ524306 BGF524302:BGF524306 BQB524302:BQB524306 BZX524302:BZX524306 CJT524302:CJT524306 CTP524302:CTP524306 DDL524302:DDL524306 DNH524302:DNH524306 DXD524302:DXD524306 EGZ524302:EGZ524306 EQV524302:EQV524306 FAR524302:FAR524306 FKN524302:FKN524306 FUJ524302:FUJ524306 GEF524302:GEF524306 GOB524302:GOB524306 GXX524302:GXX524306 HHT524302:HHT524306 HRP524302:HRP524306 IBL524302:IBL524306 ILH524302:ILH524306 IVD524302:IVD524306 JEZ524302:JEZ524306 JOV524302:JOV524306 JYR524302:JYR524306 KIN524302:KIN524306 KSJ524302:KSJ524306 LCF524302:LCF524306 LMB524302:LMB524306 LVX524302:LVX524306 MFT524302:MFT524306 MPP524302:MPP524306 MZL524302:MZL524306 NJH524302:NJH524306 NTD524302:NTD524306 OCZ524302:OCZ524306 OMV524302:OMV524306 OWR524302:OWR524306 PGN524302:PGN524306 PQJ524302:PQJ524306 QAF524302:QAF524306 QKB524302:QKB524306 QTX524302:QTX524306 RDT524302:RDT524306 RNP524302:RNP524306 RXL524302:RXL524306 SHH524302:SHH524306 SRD524302:SRD524306 TAZ524302:TAZ524306 TKV524302:TKV524306 TUR524302:TUR524306 UEN524302:UEN524306 UOJ524302:UOJ524306 UYF524302:UYF524306 VIB524302:VIB524306 VRX524302:VRX524306 WBT524302:WBT524306 WLP524302:WLP524306 WVL524302:WVL524306 D589838:D589842 IZ589838:IZ589842 SV589838:SV589842 ACR589838:ACR589842 AMN589838:AMN589842 AWJ589838:AWJ589842 BGF589838:BGF589842 BQB589838:BQB589842 BZX589838:BZX589842 CJT589838:CJT589842 CTP589838:CTP589842 DDL589838:DDL589842 DNH589838:DNH589842 DXD589838:DXD589842 EGZ589838:EGZ589842 EQV589838:EQV589842 FAR589838:FAR589842 FKN589838:FKN589842 FUJ589838:FUJ589842 GEF589838:GEF589842 GOB589838:GOB589842 GXX589838:GXX589842 HHT589838:HHT589842 HRP589838:HRP589842 IBL589838:IBL589842 ILH589838:ILH589842 IVD589838:IVD589842 JEZ589838:JEZ589842 JOV589838:JOV589842 JYR589838:JYR589842 KIN589838:KIN589842 KSJ589838:KSJ589842 LCF589838:LCF589842 LMB589838:LMB589842 LVX589838:LVX589842 MFT589838:MFT589842 MPP589838:MPP589842 MZL589838:MZL589842 NJH589838:NJH589842 NTD589838:NTD589842 OCZ589838:OCZ589842 OMV589838:OMV589842 OWR589838:OWR589842 PGN589838:PGN589842 PQJ589838:PQJ589842 QAF589838:QAF589842 QKB589838:QKB589842 QTX589838:QTX589842 RDT589838:RDT589842 RNP589838:RNP589842 RXL589838:RXL589842 SHH589838:SHH589842 SRD589838:SRD589842 TAZ589838:TAZ589842 TKV589838:TKV589842 TUR589838:TUR589842 UEN589838:UEN589842 UOJ589838:UOJ589842 UYF589838:UYF589842 VIB589838:VIB589842 VRX589838:VRX589842 WBT589838:WBT589842 WLP589838:WLP589842 WVL589838:WVL589842 D655374:D655378 IZ655374:IZ655378 SV655374:SV655378 ACR655374:ACR655378 AMN655374:AMN655378 AWJ655374:AWJ655378 BGF655374:BGF655378 BQB655374:BQB655378 BZX655374:BZX655378 CJT655374:CJT655378 CTP655374:CTP655378 DDL655374:DDL655378 DNH655374:DNH655378 DXD655374:DXD655378 EGZ655374:EGZ655378 EQV655374:EQV655378 FAR655374:FAR655378 FKN655374:FKN655378 FUJ655374:FUJ655378 GEF655374:GEF655378 GOB655374:GOB655378 GXX655374:GXX655378 HHT655374:HHT655378 HRP655374:HRP655378 IBL655374:IBL655378 ILH655374:ILH655378 IVD655374:IVD655378 JEZ655374:JEZ655378 JOV655374:JOV655378 JYR655374:JYR655378 KIN655374:KIN655378 KSJ655374:KSJ655378 LCF655374:LCF655378 LMB655374:LMB655378 LVX655374:LVX655378 MFT655374:MFT655378 MPP655374:MPP655378 MZL655374:MZL655378 NJH655374:NJH655378 NTD655374:NTD655378 OCZ655374:OCZ655378 OMV655374:OMV655378 OWR655374:OWR655378 PGN655374:PGN655378 PQJ655374:PQJ655378 QAF655374:QAF655378 QKB655374:QKB655378 QTX655374:QTX655378 RDT655374:RDT655378 RNP655374:RNP655378 RXL655374:RXL655378 SHH655374:SHH655378 SRD655374:SRD655378 TAZ655374:TAZ655378 TKV655374:TKV655378 TUR655374:TUR655378 UEN655374:UEN655378 UOJ655374:UOJ655378 UYF655374:UYF655378 VIB655374:VIB655378 VRX655374:VRX655378 WBT655374:WBT655378 WLP655374:WLP655378 WVL655374:WVL655378 D720910:D720914 IZ720910:IZ720914 SV720910:SV720914 ACR720910:ACR720914 AMN720910:AMN720914 AWJ720910:AWJ720914 BGF720910:BGF720914 BQB720910:BQB720914 BZX720910:BZX720914 CJT720910:CJT720914 CTP720910:CTP720914 DDL720910:DDL720914 DNH720910:DNH720914 DXD720910:DXD720914 EGZ720910:EGZ720914 EQV720910:EQV720914 FAR720910:FAR720914 FKN720910:FKN720914 FUJ720910:FUJ720914 GEF720910:GEF720914 GOB720910:GOB720914 GXX720910:GXX720914 HHT720910:HHT720914 HRP720910:HRP720914 IBL720910:IBL720914 ILH720910:ILH720914 IVD720910:IVD720914 JEZ720910:JEZ720914 JOV720910:JOV720914 JYR720910:JYR720914 KIN720910:KIN720914 KSJ720910:KSJ720914 LCF720910:LCF720914 LMB720910:LMB720914 LVX720910:LVX720914 MFT720910:MFT720914 MPP720910:MPP720914 MZL720910:MZL720914 NJH720910:NJH720914 NTD720910:NTD720914 OCZ720910:OCZ720914 OMV720910:OMV720914 OWR720910:OWR720914 PGN720910:PGN720914 PQJ720910:PQJ720914 QAF720910:QAF720914 QKB720910:QKB720914 QTX720910:QTX720914 RDT720910:RDT720914 RNP720910:RNP720914 RXL720910:RXL720914 SHH720910:SHH720914 SRD720910:SRD720914 TAZ720910:TAZ720914 TKV720910:TKV720914 TUR720910:TUR720914 UEN720910:UEN720914 UOJ720910:UOJ720914 UYF720910:UYF720914 VIB720910:VIB720914 VRX720910:VRX720914 WBT720910:WBT720914 WLP720910:WLP720914 WVL720910:WVL720914 D786446:D786450 IZ786446:IZ786450 SV786446:SV786450 ACR786446:ACR786450 AMN786446:AMN786450 AWJ786446:AWJ786450 BGF786446:BGF786450 BQB786446:BQB786450 BZX786446:BZX786450 CJT786446:CJT786450 CTP786446:CTP786450 DDL786446:DDL786450 DNH786446:DNH786450 DXD786446:DXD786450 EGZ786446:EGZ786450 EQV786446:EQV786450 FAR786446:FAR786450 FKN786446:FKN786450 FUJ786446:FUJ786450 GEF786446:GEF786450 GOB786446:GOB786450 GXX786446:GXX786450 HHT786446:HHT786450 HRP786446:HRP786450 IBL786446:IBL786450 ILH786446:ILH786450 IVD786446:IVD786450 JEZ786446:JEZ786450 JOV786446:JOV786450 JYR786446:JYR786450 KIN786446:KIN786450 KSJ786446:KSJ786450 LCF786446:LCF786450 LMB786446:LMB786450 LVX786446:LVX786450 MFT786446:MFT786450 MPP786446:MPP786450 MZL786446:MZL786450 NJH786446:NJH786450 NTD786446:NTD786450 OCZ786446:OCZ786450 OMV786446:OMV786450 OWR786446:OWR786450 PGN786446:PGN786450 PQJ786446:PQJ786450 QAF786446:QAF786450 QKB786446:QKB786450 QTX786446:QTX786450 RDT786446:RDT786450 RNP786446:RNP786450 RXL786446:RXL786450 SHH786446:SHH786450 SRD786446:SRD786450 TAZ786446:TAZ786450 TKV786446:TKV786450 TUR786446:TUR786450 UEN786446:UEN786450 UOJ786446:UOJ786450 UYF786446:UYF786450 VIB786446:VIB786450 VRX786446:VRX786450 WBT786446:WBT786450 WLP786446:WLP786450 WVL786446:WVL786450 D851982:D851986 IZ851982:IZ851986 SV851982:SV851986 ACR851982:ACR851986 AMN851982:AMN851986 AWJ851982:AWJ851986 BGF851982:BGF851986 BQB851982:BQB851986 BZX851982:BZX851986 CJT851982:CJT851986 CTP851982:CTP851986 DDL851982:DDL851986 DNH851982:DNH851986 DXD851982:DXD851986 EGZ851982:EGZ851986 EQV851982:EQV851986 FAR851982:FAR851986 FKN851982:FKN851986 FUJ851982:FUJ851986 GEF851982:GEF851986 GOB851982:GOB851986 GXX851982:GXX851986 HHT851982:HHT851986 HRP851982:HRP851986 IBL851982:IBL851986 ILH851982:ILH851986 IVD851982:IVD851986 JEZ851982:JEZ851986 JOV851982:JOV851986 JYR851982:JYR851986 KIN851982:KIN851986 KSJ851982:KSJ851986 LCF851982:LCF851986 LMB851982:LMB851986 LVX851982:LVX851986 MFT851982:MFT851986 MPP851982:MPP851986 MZL851982:MZL851986 NJH851982:NJH851986 NTD851982:NTD851986 OCZ851982:OCZ851986 OMV851982:OMV851986 OWR851982:OWR851986 PGN851982:PGN851986 PQJ851982:PQJ851986 QAF851982:QAF851986 QKB851982:QKB851986 QTX851982:QTX851986 RDT851982:RDT851986 RNP851982:RNP851986 RXL851982:RXL851986 SHH851982:SHH851986 SRD851982:SRD851986 TAZ851982:TAZ851986 TKV851982:TKV851986 TUR851982:TUR851986 UEN851982:UEN851986 UOJ851982:UOJ851986 UYF851982:UYF851986 VIB851982:VIB851986 VRX851982:VRX851986 WBT851982:WBT851986 WLP851982:WLP851986 WVL851982:WVL851986 D917518:D917522 IZ917518:IZ917522 SV917518:SV917522 ACR917518:ACR917522 AMN917518:AMN917522 AWJ917518:AWJ917522 BGF917518:BGF917522 BQB917518:BQB917522 BZX917518:BZX917522 CJT917518:CJT917522 CTP917518:CTP917522 DDL917518:DDL917522 DNH917518:DNH917522 DXD917518:DXD917522 EGZ917518:EGZ917522 EQV917518:EQV917522 FAR917518:FAR917522 FKN917518:FKN917522 FUJ917518:FUJ917522 GEF917518:GEF917522 GOB917518:GOB917522 GXX917518:GXX917522 HHT917518:HHT917522 HRP917518:HRP917522 IBL917518:IBL917522 ILH917518:ILH917522 IVD917518:IVD917522 JEZ917518:JEZ917522 JOV917518:JOV917522 JYR917518:JYR917522 KIN917518:KIN917522 KSJ917518:KSJ917522 LCF917518:LCF917522 LMB917518:LMB917522 LVX917518:LVX917522 MFT917518:MFT917522 MPP917518:MPP917522 MZL917518:MZL917522 NJH917518:NJH917522 NTD917518:NTD917522 OCZ917518:OCZ917522 OMV917518:OMV917522 OWR917518:OWR917522 PGN917518:PGN917522 PQJ917518:PQJ917522 QAF917518:QAF917522 QKB917518:QKB917522 QTX917518:QTX917522 RDT917518:RDT917522 RNP917518:RNP917522 RXL917518:RXL917522 SHH917518:SHH917522 SRD917518:SRD917522 TAZ917518:TAZ917522 TKV917518:TKV917522 TUR917518:TUR917522 UEN917518:UEN917522 UOJ917518:UOJ917522 UYF917518:UYF917522 VIB917518:VIB917522 VRX917518:VRX917522 WBT917518:WBT917522 WLP917518:WLP917522 WVL917518:WVL917522 D983054:D983058 IZ983054:IZ983058 SV983054:SV983058 ACR983054:ACR983058 AMN983054:AMN983058 AWJ983054:AWJ983058 BGF983054:BGF983058 BQB983054:BQB983058 BZX983054:BZX983058 CJT983054:CJT983058 CTP983054:CTP983058 DDL983054:DDL983058 DNH983054:DNH983058 DXD983054:DXD983058 EGZ983054:EGZ983058 EQV983054:EQV983058 FAR983054:FAR983058 FKN983054:FKN983058 FUJ983054:FUJ983058 GEF983054:GEF983058 GOB983054:GOB983058 GXX983054:GXX983058 HHT983054:HHT983058 HRP983054:HRP983058 IBL983054:IBL983058 ILH983054:ILH983058 IVD983054:IVD983058 JEZ983054:JEZ983058 JOV983054:JOV983058 JYR983054:JYR983058 KIN983054:KIN983058 KSJ983054:KSJ983058 LCF983054:LCF983058 LMB983054:LMB983058 LVX983054:LVX983058 MFT983054:MFT983058 MPP983054:MPP983058 MZL983054:MZL983058 NJH983054:NJH983058 NTD983054:NTD983058 OCZ983054:OCZ983058 OMV983054:OMV983058 OWR983054:OWR983058 PGN983054:PGN983058 PQJ983054:PQJ983058 QAF983054:QAF983058 QKB983054:QKB983058 QTX983054:QTX983058 RDT983054:RDT983058 RNP983054:RNP983058 RXL983054:RXL983058 SHH983054:SHH983058 SRD983054:SRD983058 TAZ983054:TAZ983058 TKV983054:TKV983058 TUR983054:TUR983058 UEN983054:UEN983058 UOJ983054:UOJ983058 UYF983054:UYF983058 VIB983054:VIB983058 VRX983054:VRX983058 WBT983054:WBT983058 WLP983054:WLP983058 WVL983054:WVL983058 D49:D56 IZ49:IZ56 SV49:SV56 ACR49:ACR56 AMN49:AMN56 AWJ49:AWJ56 BGF49:BGF56 BQB49:BQB56 BZX49:BZX56 CJT49:CJT56 CTP49:CTP56 DDL49:DDL56 DNH49:DNH56 DXD49:DXD56 EGZ49:EGZ56 EQV49:EQV56 FAR49:FAR56 FKN49:FKN56 FUJ49:FUJ56 GEF49:GEF56 GOB49:GOB56 GXX49:GXX56 HHT49:HHT56 HRP49:HRP56 IBL49:IBL56 ILH49:ILH56 IVD49:IVD56 JEZ49:JEZ56 JOV49:JOV56 JYR49:JYR56 KIN49:KIN56 KSJ49:KSJ56 LCF49:LCF56 LMB49:LMB56 LVX49:LVX56 MFT49:MFT56 MPP49:MPP56 MZL49:MZL56 NJH49:NJH56 NTD49:NTD56 OCZ49:OCZ56 OMV49:OMV56 OWR49:OWR56 PGN49:PGN56 PQJ49:PQJ56 QAF49:QAF56 QKB49:QKB56 QTX49:QTX56 RDT49:RDT56 RNP49:RNP56 RXL49:RXL56 SHH49:SHH56 SRD49:SRD56 TAZ49:TAZ56 TKV49:TKV56 TUR49:TUR56 UEN49:UEN56 UOJ49:UOJ56 UYF49:UYF56 VIB49:VIB56 VRX49:VRX56 WBT49:WBT56 WLP49:WLP56 WVL49:WVL56 D65585:D65592 IZ65585:IZ65592 SV65585:SV65592 ACR65585:ACR65592 AMN65585:AMN65592 AWJ65585:AWJ65592 BGF65585:BGF65592 BQB65585:BQB65592 BZX65585:BZX65592 CJT65585:CJT65592 CTP65585:CTP65592 DDL65585:DDL65592 DNH65585:DNH65592 DXD65585:DXD65592 EGZ65585:EGZ65592 EQV65585:EQV65592 FAR65585:FAR65592 FKN65585:FKN65592 FUJ65585:FUJ65592 GEF65585:GEF65592 GOB65585:GOB65592 GXX65585:GXX65592 HHT65585:HHT65592 HRP65585:HRP65592 IBL65585:IBL65592 ILH65585:ILH65592 IVD65585:IVD65592 JEZ65585:JEZ65592 JOV65585:JOV65592 JYR65585:JYR65592 KIN65585:KIN65592 KSJ65585:KSJ65592 LCF65585:LCF65592 LMB65585:LMB65592 LVX65585:LVX65592 MFT65585:MFT65592 MPP65585:MPP65592 MZL65585:MZL65592 NJH65585:NJH65592 NTD65585:NTD65592 OCZ65585:OCZ65592 OMV65585:OMV65592 OWR65585:OWR65592 PGN65585:PGN65592 PQJ65585:PQJ65592 QAF65585:QAF65592 QKB65585:QKB65592 QTX65585:QTX65592 RDT65585:RDT65592 RNP65585:RNP65592 RXL65585:RXL65592 SHH65585:SHH65592 SRD65585:SRD65592 TAZ65585:TAZ65592 TKV65585:TKV65592 TUR65585:TUR65592 UEN65585:UEN65592 UOJ65585:UOJ65592 UYF65585:UYF65592 VIB65585:VIB65592 VRX65585:VRX65592 WBT65585:WBT65592 WLP65585:WLP65592 WVL65585:WVL65592 D131121:D131128 IZ131121:IZ131128 SV131121:SV131128 ACR131121:ACR131128 AMN131121:AMN131128 AWJ131121:AWJ131128 BGF131121:BGF131128 BQB131121:BQB131128 BZX131121:BZX131128 CJT131121:CJT131128 CTP131121:CTP131128 DDL131121:DDL131128 DNH131121:DNH131128 DXD131121:DXD131128 EGZ131121:EGZ131128 EQV131121:EQV131128 FAR131121:FAR131128 FKN131121:FKN131128 FUJ131121:FUJ131128 GEF131121:GEF131128 GOB131121:GOB131128 GXX131121:GXX131128 HHT131121:HHT131128 HRP131121:HRP131128 IBL131121:IBL131128 ILH131121:ILH131128 IVD131121:IVD131128 JEZ131121:JEZ131128 JOV131121:JOV131128 JYR131121:JYR131128 KIN131121:KIN131128 KSJ131121:KSJ131128 LCF131121:LCF131128 LMB131121:LMB131128 LVX131121:LVX131128 MFT131121:MFT131128 MPP131121:MPP131128 MZL131121:MZL131128 NJH131121:NJH131128 NTD131121:NTD131128 OCZ131121:OCZ131128 OMV131121:OMV131128 OWR131121:OWR131128 PGN131121:PGN131128 PQJ131121:PQJ131128 QAF131121:QAF131128 QKB131121:QKB131128 QTX131121:QTX131128 RDT131121:RDT131128 RNP131121:RNP131128 RXL131121:RXL131128 SHH131121:SHH131128 SRD131121:SRD131128 TAZ131121:TAZ131128 TKV131121:TKV131128 TUR131121:TUR131128 UEN131121:UEN131128 UOJ131121:UOJ131128 UYF131121:UYF131128 VIB131121:VIB131128 VRX131121:VRX131128 WBT131121:WBT131128 WLP131121:WLP131128 WVL131121:WVL131128 D196657:D196664 IZ196657:IZ196664 SV196657:SV196664 ACR196657:ACR196664 AMN196657:AMN196664 AWJ196657:AWJ196664 BGF196657:BGF196664 BQB196657:BQB196664 BZX196657:BZX196664 CJT196657:CJT196664 CTP196657:CTP196664 DDL196657:DDL196664 DNH196657:DNH196664 DXD196657:DXD196664 EGZ196657:EGZ196664 EQV196657:EQV196664 FAR196657:FAR196664 FKN196657:FKN196664 FUJ196657:FUJ196664 GEF196657:GEF196664 GOB196657:GOB196664 GXX196657:GXX196664 HHT196657:HHT196664 HRP196657:HRP196664 IBL196657:IBL196664 ILH196657:ILH196664 IVD196657:IVD196664 JEZ196657:JEZ196664 JOV196657:JOV196664 JYR196657:JYR196664 KIN196657:KIN196664 KSJ196657:KSJ196664 LCF196657:LCF196664 LMB196657:LMB196664 LVX196657:LVX196664 MFT196657:MFT196664 MPP196657:MPP196664 MZL196657:MZL196664 NJH196657:NJH196664 NTD196657:NTD196664 OCZ196657:OCZ196664 OMV196657:OMV196664 OWR196657:OWR196664 PGN196657:PGN196664 PQJ196657:PQJ196664 QAF196657:QAF196664 QKB196657:QKB196664 QTX196657:QTX196664 RDT196657:RDT196664 RNP196657:RNP196664 RXL196657:RXL196664 SHH196657:SHH196664 SRD196657:SRD196664 TAZ196657:TAZ196664 TKV196657:TKV196664 TUR196657:TUR196664 UEN196657:UEN196664 UOJ196657:UOJ196664 UYF196657:UYF196664 VIB196657:VIB196664 VRX196657:VRX196664 WBT196657:WBT196664 WLP196657:WLP196664 WVL196657:WVL196664 D262193:D262200 IZ262193:IZ262200 SV262193:SV262200 ACR262193:ACR262200 AMN262193:AMN262200 AWJ262193:AWJ262200 BGF262193:BGF262200 BQB262193:BQB262200 BZX262193:BZX262200 CJT262193:CJT262200 CTP262193:CTP262200 DDL262193:DDL262200 DNH262193:DNH262200 DXD262193:DXD262200 EGZ262193:EGZ262200 EQV262193:EQV262200 FAR262193:FAR262200 FKN262193:FKN262200 FUJ262193:FUJ262200 GEF262193:GEF262200 GOB262193:GOB262200 GXX262193:GXX262200 HHT262193:HHT262200 HRP262193:HRP262200 IBL262193:IBL262200 ILH262193:ILH262200 IVD262193:IVD262200 JEZ262193:JEZ262200 JOV262193:JOV262200 JYR262193:JYR262200 KIN262193:KIN262200 KSJ262193:KSJ262200 LCF262193:LCF262200 LMB262193:LMB262200 LVX262193:LVX262200 MFT262193:MFT262200 MPP262193:MPP262200 MZL262193:MZL262200 NJH262193:NJH262200 NTD262193:NTD262200 OCZ262193:OCZ262200 OMV262193:OMV262200 OWR262193:OWR262200 PGN262193:PGN262200 PQJ262193:PQJ262200 QAF262193:QAF262200 QKB262193:QKB262200 QTX262193:QTX262200 RDT262193:RDT262200 RNP262193:RNP262200 RXL262193:RXL262200 SHH262193:SHH262200 SRD262193:SRD262200 TAZ262193:TAZ262200 TKV262193:TKV262200 TUR262193:TUR262200 UEN262193:UEN262200 UOJ262193:UOJ262200 UYF262193:UYF262200 VIB262193:VIB262200 VRX262193:VRX262200 WBT262193:WBT262200 WLP262193:WLP262200 WVL262193:WVL262200 D327729:D327736 IZ327729:IZ327736 SV327729:SV327736 ACR327729:ACR327736 AMN327729:AMN327736 AWJ327729:AWJ327736 BGF327729:BGF327736 BQB327729:BQB327736 BZX327729:BZX327736 CJT327729:CJT327736 CTP327729:CTP327736 DDL327729:DDL327736 DNH327729:DNH327736 DXD327729:DXD327736 EGZ327729:EGZ327736 EQV327729:EQV327736 FAR327729:FAR327736 FKN327729:FKN327736 FUJ327729:FUJ327736 GEF327729:GEF327736 GOB327729:GOB327736 GXX327729:GXX327736 HHT327729:HHT327736 HRP327729:HRP327736 IBL327729:IBL327736 ILH327729:ILH327736 IVD327729:IVD327736 JEZ327729:JEZ327736 JOV327729:JOV327736 JYR327729:JYR327736 KIN327729:KIN327736 KSJ327729:KSJ327736 LCF327729:LCF327736 LMB327729:LMB327736 LVX327729:LVX327736 MFT327729:MFT327736 MPP327729:MPP327736 MZL327729:MZL327736 NJH327729:NJH327736 NTD327729:NTD327736 OCZ327729:OCZ327736 OMV327729:OMV327736 OWR327729:OWR327736 PGN327729:PGN327736 PQJ327729:PQJ327736 QAF327729:QAF327736 QKB327729:QKB327736 QTX327729:QTX327736 RDT327729:RDT327736 RNP327729:RNP327736 RXL327729:RXL327736 SHH327729:SHH327736 SRD327729:SRD327736 TAZ327729:TAZ327736 TKV327729:TKV327736 TUR327729:TUR327736 UEN327729:UEN327736 UOJ327729:UOJ327736 UYF327729:UYF327736 VIB327729:VIB327736 VRX327729:VRX327736 WBT327729:WBT327736 WLP327729:WLP327736 WVL327729:WVL327736 D393265:D393272 IZ393265:IZ393272 SV393265:SV393272 ACR393265:ACR393272 AMN393265:AMN393272 AWJ393265:AWJ393272 BGF393265:BGF393272 BQB393265:BQB393272 BZX393265:BZX393272 CJT393265:CJT393272 CTP393265:CTP393272 DDL393265:DDL393272 DNH393265:DNH393272 DXD393265:DXD393272 EGZ393265:EGZ393272 EQV393265:EQV393272 FAR393265:FAR393272 FKN393265:FKN393272 FUJ393265:FUJ393272 GEF393265:GEF393272 GOB393265:GOB393272 GXX393265:GXX393272 HHT393265:HHT393272 HRP393265:HRP393272 IBL393265:IBL393272 ILH393265:ILH393272 IVD393265:IVD393272 JEZ393265:JEZ393272 JOV393265:JOV393272 JYR393265:JYR393272 KIN393265:KIN393272 KSJ393265:KSJ393272 LCF393265:LCF393272 LMB393265:LMB393272 LVX393265:LVX393272 MFT393265:MFT393272 MPP393265:MPP393272 MZL393265:MZL393272 NJH393265:NJH393272 NTD393265:NTD393272 OCZ393265:OCZ393272 OMV393265:OMV393272 OWR393265:OWR393272 PGN393265:PGN393272 PQJ393265:PQJ393272 QAF393265:QAF393272 QKB393265:QKB393272 QTX393265:QTX393272 RDT393265:RDT393272 RNP393265:RNP393272 RXL393265:RXL393272 SHH393265:SHH393272 SRD393265:SRD393272 TAZ393265:TAZ393272 TKV393265:TKV393272 TUR393265:TUR393272 UEN393265:UEN393272 UOJ393265:UOJ393272 UYF393265:UYF393272 VIB393265:VIB393272 VRX393265:VRX393272 WBT393265:WBT393272 WLP393265:WLP393272 WVL393265:WVL393272 D458801:D458808 IZ458801:IZ458808 SV458801:SV458808 ACR458801:ACR458808 AMN458801:AMN458808 AWJ458801:AWJ458808 BGF458801:BGF458808 BQB458801:BQB458808 BZX458801:BZX458808 CJT458801:CJT458808 CTP458801:CTP458808 DDL458801:DDL458808 DNH458801:DNH458808 DXD458801:DXD458808 EGZ458801:EGZ458808 EQV458801:EQV458808 FAR458801:FAR458808 FKN458801:FKN458808 FUJ458801:FUJ458808 GEF458801:GEF458808 GOB458801:GOB458808 GXX458801:GXX458808 HHT458801:HHT458808 HRP458801:HRP458808 IBL458801:IBL458808 ILH458801:ILH458808 IVD458801:IVD458808 JEZ458801:JEZ458808 JOV458801:JOV458808 JYR458801:JYR458808 KIN458801:KIN458808 KSJ458801:KSJ458808 LCF458801:LCF458808 LMB458801:LMB458808 LVX458801:LVX458808 MFT458801:MFT458808 MPP458801:MPP458808 MZL458801:MZL458808 NJH458801:NJH458808 NTD458801:NTD458808 OCZ458801:OCZ458808 OMV458801:OMV458808 OWR458801:OWR458808 PGN458801:PGN458808 PQJ458801:PQJ458808 QAF458801:QAF458808 QKB458801:QKB458808 QTX458801:QTX458808 RDT458801:RDT458808 RNP458801:RNP458808 RXL458801:RXL458808 SHH458801:SHH458808 SRD458801:SRD458808 TAZ458801:TAZ458808 TKV458801:TKV458808 TUR458801:TUR458808 UEN458801:UEN458808 UOJ458801:UOJ458808 UYF458801:UYF458808 VIB458801:VIB458808 VRX458801:VRX458808 WBT458801:WBT458808 WLP458801:WLP458808 WVL458801:WVL458808 D524337:D524344 IZ524337:IZ524344 SV524337:SV524344 ACR524337:ACR524344 AMN524337:AMN524344 AWJ524337:AWJ524344 BGF524337:BGF524344 BQB524337:BQB524344 BZX524337:BZX524344 CJT524337:CJT524344 CTP524337:CTP524344 DDL524337:DDL524344 DNH524337:DNH524344 DXD524337:DXD524344 EGZ524337:EGZ524344 EQV524337:EQV524344 FAR524337:FAR524344 FKN524337:FKN524344 FUJ524337:FUJ524344 GEF524337:GEF524344 GOB524337:GOB524344 GXX524337:GXX524344 HHT524337:HHT524344 HRP524337:HRP524344 IBL524337:IBL524344 ILH524337:ILH524344 IVD524337:IVD524344 JEZ524337:JEZ524344 JOV524337:JOV524344 JYR524337:JYR524344 KIN524337:KIN524344 KSJ524337:KSJ524344 LCF524337:LCF524344 LMB524337:LMB524344 LVX524337:LVX524344 MFT524337:MFT524344 MPP524337:MPP524344 MZL524337:MZL524344 NJH524337:NJH524344 NTD524337:NTD524344 OCZ524337:OCZ524344 OMV524337:OMV524344 OWR524337:OWR524344 PGN524337:PGN524344 PQJ524337:PQJ524344 QAF524337:QAF524344 QKB524337:QKB524344 QTX524337:QTX524344 RDT524337:RDT524344 RNP524337:RNP524344 RXL524337:RXL524344 SHH524337:SHH524344 SRD524337:SRD524344 TAZ524337:TAZ524344 TKV524337:TKV524344 TUR524337:TUR524344 UEN524337:UEN524344 UOJ524337:UOJ524344 UYF524337:UYF524344 VIB524337:VIB524344 VRX524337:VRX524344 WBT524337:WBT524344 WLP524337:WLP524344 WVL524337:WVL524344 D589873:D589880 IZ589873:IZ589880 SV589873:SV589880 ACR589873:ACR589880 AMN589873:AMN589880 AWJ589873:AWJ589880 BGF589873:BGF589880 BQB589873:BQB589880 BZX589873:BZX589880 CJT589873:CJT589880 CTP589873:CTP589880 DDL589873:DDL589880 DNH589873:DNH589880 DXD589873:DXD589880 EGZ589873:EGZ589880 EQV589873:EQV589880 FAR589873:FAR589880 FKN589873:FKN589880 FUJ589873:FUJ589880 GEF589873:GEF589880 GOB589873:GOB589880 GXX589873:GXX589880 HHT589873:HHT589880 HRP589873:HRP589880 IBL589873:IBL589880 ILH589873:ILH589880 IVD589873:IVD589880 JEZ589873:JEZ589880 JOV589873:JOV589880 JYR589873:JYR589880 KIN589873:KIN589880 KSJ589873:KSJ589880 LCF589873:LCF589880 LMB589873:LMB589880 LVX589873:LVX589880 MFT589873:MFT589880 MPP589873:MPP589880 MZL589873:MZL589880 NJH589873:NJH589880 NTD589873:NTD589880 OCZ589873:OCZ589880 OMV589873:OMV589880 OWR589873:OWR589880 PGN589873:PGN589880 PQJ589873:PQJ589880 QAF589873:QAF589880 QKB589873:QKB589880 QTX589873:QTX589880 RDT589873:RDT589880 RNP589873:RNP589880 RXL589873:RXL589880 SHH589873:SHH589880 SRD589873:SRD589880 TAZ589873:TAZ589880 TKV589873:TKV589880 TUR589873:TUR589880 UEN589873:UEN589880 UOJ589873:UOJ589880 UYF589873:UYF589880 VIB589873:VIB589880 VRX589873:VRX589880 WBT589873:WBT589880 WLP589873:WLP589880 WVL589873:WVL589880 D655409:D655416 IZ655409:IZ655416 SV655409:SV655416 ACR655409:ACR655416 AMN655409:AMN655416 AWJ655409:AWJ655416 BGF655409:BGF655416 BQB655409:BQB655416 BZX655409:BZX655416 CJT655409:CJT655416 CTP655409:CTP655416 DDL655409:DDL655416 DNH655409:DNH655416 DXD655409:DXD655416 EGZ655409:EGZ655416 EQV655409:EQV655416 FAR655409:FAR655416 FKN655409:FKN655416 FUJ655409:FUJ655416 GEF655409:GEF655416 GOB655409:GOB655416 GXX655409:GXX655416 HHT655409:HHT655416 HRP655409:HRP655416 IBL655409:IBL655416 ILH655409:ILH655416 IVD655409:IVD655416 JEZ655409:JEZ655416 JOV655409:JOV655416 JYR655409:JYR655416 KIN655409:KIN655416 KSJ655409:KSJ655416 LCF655409:LCF655416 LMB655409:LMB655416 LVX655409:LVX655416 MFT655409:MFT655416 MPP655409:MPP655416 MZL655409:MZL655416 NJH655409:NJH655416 NTD655409:NTD655416 OCZ655409:OCZ655416 OMV655409:OMV655416 OWR655409:OWR655416 PGN655409:PGN655416 PQJ655409:PQJ655416 QAF655409:QAF655416 QKB655409:QKB655416 QTX655409:QTX655416 RDT655409:RDT655416 RNP655409:RNP655416 RXL655409:RXL655416 SHH655409:SHH655416 SRD655409:SRD655416 TAZ655409:TAZ655416 TKV655409:TKV655416 TUR655409:TUR655416 UEN655409:UEN655416 UOJ655409:UOJ655416 UYF655409:UYF655416 VIB655409:VIB655416 VRX655409:VRX655416 WBT655409:WBT655416 WLP655409:WLP655416 WVL655409:WVL655416 D720945:D720952 IZ720945:IZ720952 SV720945:SV720952 ACR720945:ACR720952 AMN720945:AMN720952 AWJ720945:AWJ720952 BGF720945:BGF720952 BQB720945:BQB720952 BZX720945:BZX720952 CJT720945:CJT720952 CTP720945:CTP720952 DDL720945:DDL720952 DNH720945:DNH720952 DXD720945:DXD720952 EGZ720945:EGZ720952 EQV720945:EQV720952 FAR720945:FAR720952 FKN720945:FKN720952 FUJ720945:FUJ720952 GEF720945:GEF720952 GOB720945:GOB720952 GXX720945:GXX720952 HHT720945:HHT720952 HRP720945:HRP720952 IBL720945:IBL720952 ILH720945:ILH720952 IVD720945:IVD720952 JEZ720945:JEZ720952 JOV720945:JOV720952 JYR720945:JYR720952 KIN720945:KIN720952 KSJ720945:KSJ720952 LCF720945:LCF720952 LMB720945:LMB720952 LVX720945:LVX720952 MFT720945:MFT720952 MPP720945:MPP720952 MZL720945:MZL720952 NJH720945:NJH720952 NTD720945:NTD720952 OCZ720945:OCZ720952 OMV720945:OMV720952 OWR720945:OWR720952 PGN720945:PGN720952 PQJ720945:PQJ720952 QAF720945:QAF720952 QKB720945:QKB720952 QTX720945:QTX720952 RDT720945:RDT720952 RNP720945:RNP720952 RXL720945:RXL720952 SHH720945:SHH720952 SRD720945:SRD720952 TAZ720945:TAZ720952 TKV720945:TKV720952 TUR720945:TUR720952 UEN720945:UEN720952 UOJ720945:UOJ720952 UYF720945:UYF720952 VIB720945:VIB720952 VRX720945:VRX720952 WBT720945:WBT720952 WLP720945:WLP720952 WVL720945:WVL720952 D786481:D786488 IZ786481:IZ786488 SV786481:SV786488 ACR786481:ACR786488 AMN786481:AMN786488 AWJ786481:AWJ786488 BGF786481:BGF786488 BQB786481:BQB786488 BZX786481:BZX786488 CJT786481:CJT786488 CTP786481:CTP786488 DDL786481:DDL786488 DNH786481:DNH786488 DXD786481:DXD786488 EGZ786481:EGZ786488 EQV786481:EQV786488 FAR786481:FAR786488 FKN786481:FKN786488 FUJ786481:FUJ786488 GEF786481:GEF786488 GOB786481:GOB786488 GXX786481:GXX786488 HHT786481:HHT786488 HRP786481:HRP786488 IBL786481:IBL786488 ILH786481:ILH786488 IVD786481:IVD786488 JEZ786481:JEZ786488 JOV786481:JOV786488 JYR786481:JYR786488 KIN786481:KIN786488 KSJ786481:KSJ786488 LCF786481:LCF786488 LMB786481:LMB786488 LVX786481:LVX786488 MFT786481:MFT786488 MPP786481:MPP786488 MZL786481:MZL786488 NJH786481:NJH786488 NTD786481:NTD786488 OCZ786481:OCZ786488 OMV786481:OMV786488 OWR786481:OWR786488 PGN786481:PGN786488 PQJ786481:PQJ786488 QAF786481:QAF786488 QKB786481:QKB786488 QTX786481:QTX786488 RDT786481:RDT786488 RNP786481:RNP786488 RXL786481:RXL786488 SHH786481:SHH786488 SRD786481:SRD786488 TAZ786481:TAZ786488 TKV786481:TKV786488 TUR786481:TUR786488 UEN786481:UEN786488 UOJ786481:UOJ786488 UYF786481:UYF786488 VIB786481:VIB786488 VRX786481:VRX786488 WBT786481:WBT786488 WLP786481:WLP786488 WVL786481:WVL786488 D852017:D852024 IZ852017:IZ852024 SV852017:SV852024 ACR852017:ACR852024 AMN852017:AMN852024 AWJ852017:AWJ852024 BGF852017:BGF852024 BQB852017:BQB852024 BZX852017:BZX852024 CJT852017:CJT852024 CTP852017:CTP852024 DDL852017:DDL852024 DNH852017:DNH852024 DXD852017:DXD852024 EGZ852017:EGZ852024 EQV852017:EQV852024 FAR852017:FAR852024 FKN852017:FKN852024 FUJ852017:FUJ852024 GEF852017:GEF852024 GOB852017:GOB852024 GXX852017:GXX852024 HHT852017:HHT852024 HRP852017:HRP852024 IBL852017:IBL852024 ILH852017:ILH852024 IVD852017:IVD852024 JEZ852017:JEZ852024 JOV852017:JOV852024 JYR852017:JYR852024 KIN852017:KIN852024 KSJ852017:KSJ852024 LCF852017:LCF852024 LMB852017:LMB852024 LVX852017:LVX852024 MFT852017:MFT852024 MPP852017:MPP852024 MZL852017:MZL852024 NJH852017:NJH852024 NTD852017:NTD852024 OCZ852017:OCZ852024 OMV852017:OMV852024 OWR852017:OWR852024 PGN852017:PGN852024 PQJ852017:PQJ852024 QAF852017:QAF852024 QKB852017:QKB852024 QTX852017:QTX852024 RDT852017:RDT852024 RNP852017:RNP852024 RXL852017:RXL852024 SHH852017:SHH852024 SRD852017:SRD852024 TAZ852017:TAZ852024 TKV852017:TKV852024 TUR852017:TUR852024 UEN852017:UEN852024 UOJ852017:UOJ852024 UYF852017:UYF852024 VIB852017:VIB852024 VRX852017:VRX852024 WBT852017:WBT852024 WLP852017:WLP852024 WVL852017:WVL852024 D917553:D917560 IZ917553:IZ917560 SV917553:SV917560 ACR917553:ACR917560 AMN917553:AMN917560 AWJ917553:AWJ917560 BGF917553:BGF917560 BQB917553:BQB917560 BZX917553:BZX917560 CJT917553:CJT917560 CTP917553:CTP917560 DDL917553:DDL917560 DNH917553:DNH917560 DXD917553:DXD917560 EGZ917553:EGZ917560 EQV917553:EQV917560 FAR917553:FAR917560 FKN917553:FKN917560 FUJ917553:FUJ917560 GEF917553:GEF917560 GOB917553:GOB917560 GXX917553:GXX917560 HHT917553:HHT917560 HRP917553:HRP917560 IBL917553:IBL917560 ILH917553:ILH917560 IVD917553:IVD917560 JEZ917553:JEZ917560 JOV917553:JOV917560 JYR917553:JYR917560 KIN917553:KIN917560 KSJ917553:KSJ917560 LCF917553:LCF917560 LMB917553:LMB917560 LVX917553:LVX917560 MFT917553:MFT917560 MPP917553:MPP917560 MZL917553:MZL917560 NJH917553:NJH917560 NTD917553:NTD917560 OCZ917553:OCZ917560 OMV917553:OMV917560 OWR917553:OWR917560 PGN917553:PGN917560 PQJ917553:PQJ917560 QAF917553:QAF917560 QKB917553:QKB917560 QTX917553:QTX917560 RDT917553:RDT917560 RNP917553:RNP917560 RXL917553:RXL917560 SHH917553:SHH917560 SRD917553:SRD917560 TAZ917553:TAZ917560 TKV917553:TKV917560 TUR917553:TUR917560 UEN917553:UEN917560 UOJ917553:UOJ917560 UYF917553:UYF917560 VIB917553:VIB917560 VRX917553:VRX917560 WBT917553:WBT917560 WLP917553:WLP917560 WVL917553:WVL917560 D983089:D983096 IZ983089:IZ983096 SV983089:SV983096 ACR983089:ACR983096 AMN983089:AMN983096 AWJ983089:AWJ983096 BGF983089:BGF983096 BQB983089:BQB983096 BZX983089:BZX983096 CJT983089:CJT983096 CTP983089:CTP983096 DDL983089:DDL983096 DNH983089:DNH983096 DXD983089:DXD983096 EGZ983089:EGZ983096 EQV983089:EQV983096 FAR983089:FAR983096 FKN983089:FKN983096 FUJ983089:FUJ983096 GEF983089:GEF983096 GOB983089:GOB983096 GXX983089:GXX983096 HHT983089:HHT983096 HRP983089:HRP983096 IBL983089:IBL983096 ILH983089:ILH983096 IVD983089:IVD983096 JEZ983089:JEZ983096 JOV983089:JOV983096 JYR983089:JYR983096 KIN983089:KIN983096 KSJ983089:KSJ983096 LCF983089:LCF983096 LMB983089:LMB983096 LVX983089:LVX983096 MFT983089:MFT983096 MPP983089:MPP983096 MZL983089:MZL983096 NJH983089:NJH983096 NTD983089:NTD983096 OCZ983089:OCZ983096 OMV983089:OMV983096 OWR983089:OWR983096 PGN983089:PGN983096 PQJ983089:PQJ983096 QAF983089:QAF983096 QKB983089:QKB983096 QTX983089:QTX983096 RDT983089:RDT983096 RNP983089:RNP983096 RXL983089:RXL983096 SHH983089:SHH983096 SRD983089:SRD983096 TAZ983089:TAZ983096 TKV983089:TKV983096 TUR983089:TUR983096 UEN983089:UEN983096 UOJ983089:UOJ983096 UYF983089:UYF983096 VIB983089:VIB983096 VRX983089:VRX983096 WBT983089:WBT983096 WLP983089:WLP983096 WVL983089:WVL983096 WBT983098:WBT983100 IZ31:IZ33 SV31:SV33 ACR31:ACR33 AMN31:AMN33 AWJ31:AWJ33 BGF31:BGF33 BQB31:BQB33 BZX31:BZX33 CJT31:CJT33 CTP31:CTP33 DDL31:DDL33 DNH31:DNH33 DXD31:DXD33 EGZ31:EGZ33 EQV31:EQV33 FAR31:FAR33 FKN31:FKN33 FUJ31:FUJ33 GEF31:GEF33 GOB31:GOB33 GXX31:GXX33 HHT31:HHT33 HRP31:HRP33 IBL31:IBL33 ILH31:ILH33 IVD31:IVD33 JEZ31:JEZ33 JOV31:JOV33 JYR31:JYR33 KIN31:KIN33 KSJ31:KSJ33 LCF31:LCF33 LMB31:LMB33 LVX31:LVX33 MFT31:MFT33 MPP31:MPP33 MZL31:MZL33 NJH31:NJH33 NTD31:NTD33 OCZ31:OCZ33 OMV31:OMV33 OWR31:OWR33 PGN31:PGN33 PQJ31:PQJ33 QAF31:QAF33 QKB31:QKB33 QTX31:QTX33 RDT31:RDT33 RNP31:RNP33 RXL31:RXL33 SHH31:SHH33 SRD31:SRD33 TAZ31:TAZ33 TKV31:TKV33 TUR31:TUR33 UEN31:UEN33 UOJ31:UOJ33 UYF31:UYF33 VIB31:VIB33 VRX31:VRX33 WBT31:WBT33 WLP31:WLP33 WVL31:WVL33 D65567:D65569 IZ65567:IZ65569 SV65567:SV65569 ACR65567:ACR65569 AMN65567:AMN65569 AWJ65567:AWJ65569 BGF65567:BGF65569 BQB65567:BQB65569 BZX65567:BZX65569 CJT65567:CJT65569 CTP65567:CTP65569 DDL65567:DDL65569 DNH65567:DNH65569 DXD65567:DXD65569 EGZ65567:EGZ65569 EQV65567:EQV65569 FAR65567:FAR65569 FKN65567:FKN65569 FUJ65567:FUJ65569 GEF65567:GEF65569 GOB65567:GOB65569 GXX65567:GXX65569 HHT65567:HHT65569 HRP65567:HRP65569 IBL65567:IBL65569 ILH65567:ILH65569 IVD65567:IVD65569 JEZ65567:JEZ65569 JOV65567:JOV65569 JYR65567:JYR65569 KIN65567:KIN65569 KSJ65567:KSJ65569 LCF65567:LCF65569 LMB65567:LMB65569 LVX65567:LVX65569 MFT65567:MFT65569 MPP65567:MPP65569 MZL65567:MZL65569 NJH65567:NJH65569 NTD65567:NTD65569 OCZ65567:OCZ65569 OMV65567:OMV65569 OWR65567:OWR65569 PGN65567:PGN65569 PQJ65567:PQJ65569 QAF65567:QAF65569 QKB65567:QKB65569 QTX65567:QTX65569 RDT65567:RDT65569 RNP65567:RNP65569 RXL65567:RXL65569 SHH65567:SHH65569 SRD65567:SRD65569 TAZ65567:TAZ65569 TKV65567:TKV65569 TUR65567:TUR65569 UEN65567:UEN65569 UOJ65567:UOJ65569 UYF65567:UYF65569 VIB65567:VIB65569 VRX65567:VRX65569 WBT65567:WBT65569 WLP65567:WLP65569 WVL65567:WVL65569 D131103:D131105 IZ131103:IZ131105 SV131103:SV131105 ACR131103:ACR131105 AMN131103:AMN131105 AWJ131103:AWJ131105 BGF131103:BGF131105 BQB131103:BQB131105 BZX131103:BZX131105 CJT131103:CJT131105 CTP131103:CTP131105 DDL131103:DDL131105 DNH131103:DNH131105 DXD131103:DXD131105 EGZ131103:EGZ131105 EQV131103:EQV131105 FAR131103:FAR131105 FKN131103:FKN131105 FUJ131103:FUJ131105 GEF131103:GEF131105 GOB131103:GOB131105 GXX131103:GXX131105 HHT131103:HHT131105 HRP131103:HRP131105 IBL131103:IBL131105 ILH131103:ILH131105 IVD131103:IVD131105 JEZ131103:JEZ131105 JOV131103:JOV131105 JYR131103:JYR131105 KIN131103:KIN131105 KSJ131103:KSJ131105 LCF131103:LCF131105 LMB131103:LMB131105 LVX131103:LVX131105 MFT131103:MFT131105 MPP131103:MPP131105 MZL131103:MZL131105 NJH131103:NJH131105 NTD131103:NTD131105 OCZ131103:OCZ131105 OMV131103:OMV131105 OWR131103:OWR131105 PGN131103:PGN131105 PQJ131103:PQJ131105 QAF131103:QAF131105 QKB131103:QKB131105 QTX131103:QTX131105 RDT131103:RDT131105 RNP131103:RNP131105 RXL131103:RXL131105 SHH131103:SHH131105 SRD131103:SRD131105 TAZ131103:TAZ131105 TKV131103:TKV131105 TUR131103:TUR131105 UEN131103:UEN131105 UOJ131103:UOJ131105 UYF131103:UYF131105 VIB131103:VIB131105 VRX131103:VRX131105 WBT131103:WBT131105 WLP131103:WLP131105 WVL131103:WVL131105 D196639:D196641 IZ196639:IZ196641 SV196639:SV196641 ACR196639:ACR196641 AMN196639:AMN196641 AWJ196639:AWJ196641 BGF196639:BGF196641 BQB196639:BQB196641 BZX196639:BZX196641 CJT196639:CJT196641 CTP196639:CTP196641 DDL196639:DDL196641 DNH196639:DNH196641 DXD196639:DXD196641 EGZ196639:EGZ196641 EQV196639:EQV196641 FAR196639:FAR196641 FKN196639:FKN196641 FUJ196639:FUJ196641 GEF196639:GEF196641 GOB196639:GOB196641 GXX196639:GXX196641 HHT196639:HHT196641 HRP196639:HRP196641 IBL196639:IBL196641 ILH196639:ILH196641 IVD196639:IVD196641 JEZ196639:JEZ196641 JOV196639:JOV196641 JYR196639:JYR196641 KIN196639:KIN196641 KSJ196639:KSJ196641 LCF196639:LCF196641 LMB196639:LMB196641 LVX196639:LVX196641 MFT196639:MFT196641 MPP196639:MPP196641 MZL196639:MZL196641 NJH196639:NJH196641 NTD196639:NTD196641 OCZ196639:OCZ196641 OMV196639:OMV196641 OWR196639:OWR196641 PGN196639:PGN196641 PQJ196639:PQJ196641 QAF196639:QAF196641 QKB196639:QKB196641 QTX196639:QTX196641 RDT196639:RDT196641 RNP196639:RNP196641 RXL196639:RXL196641 SHH196639:SHH196641 SRD196639:SRD196641 TAZ196639:TAZ196641 TKV196639:TKV196641 TUR196639:TUR196641 UEN196639:UEN196641 UOJ196639:UOJ196641 UYF196639:UYF196641 VIB196639:VIB196641 VRX196639:VRX196641 WBT196639:WBT196641 WLP196639:WLP196641 WVL196639:WVL196641 D262175:D262177 IZ262175:IZ262177 SV262175:SV262177 ACR262175:ACR262177 AMN262175:AMN262177 AWJ262175:AWJ262177 BGF262175:BGF262177 BQB262175:BQB262177 BZX262175:BZX262177 CJT262175:CJT262177 CTP262175:CTP262177 DDL262175:DDL262177 DNH262175:DNH262177 DXD262175:DXD262177 EGZ262175:EGZ262177 EQV262175:EQV262177 FAR262175:FAR262177 FKN262175:FKN262177 FUJ262175:FUJ262177 GEF262175:GEF262177 GOB262175:GOB262177 GXX262175:GXX262177 HHT262175:HHT262177 HRP262175:HRP262177 IBL262175:IBL262177 ILH262175:ILH262177 IVD262175:IVD262177 JEZ262175:JEZ262177 JOV262175:JOV262177 JYR262175:JYR262177 KIN262175:KIN262177 KSJ262175:KSJ262177 LCF262175:LCF262177 LMB262175:LMB262177 LVX262175:LVX262177 MFT262175:MFT262177 MPP262175:MPP262177 MZL262175:MZL262177 NJH262175:NJH262177 NTD262175:NTD262177 OCZ262175:OCZ262177 OMV262175:OMV262177 OWR262175:OWR262177 PGN262175:PGN262177 PQJ262175:PQJ262177 QAF262175:QAF262177 QKB262175:QKB262177 QTX262175:QTX262177 RDT262175:RDT262177 RNP262175:RNP262177 RXL262175:RXL262177 SHH262175:SHH262177 SRD262175:SRD262177 TAZ262175:TAZ262177 TKV262175:TKV262177 TUR262175:TUR262177 UEN262175:UEN262177 UOJ262175:UOJ262177 UYF262175:UYF262177 VIB262175:VIB262177 VRX262175:VRX262177 WBT262175:WBT262177 WLP262175:WLP262177 WVL262175:WVL262177 D327711:D327713 IZ327711:IZ327713 SV327711:SV327713 ACR327711:ACR327713 AMN327711:AMN327713 AWJ327711:AWJ327713 BGF327711:BGF327713 BQB327711:BQB327713 BZX327711:BZX327713 CJT327711:CJT327713 CTP327711:CTP327713 DDL327711:DDL327713 DNH327711:DNH327713 DXD327711:DXD327713 EGZ327711:EGZ327713 EQV327711:EQV327713 FAR327711:FAR327713 FKN327711:FKN327713 FUJ327711:FUJ327713 GEF327711:GEF327713 GOB327711:GOB327713 GXX327711:GXX327713 HHT327711:HHT327713 HRP327711:HRP327713 IBL327711:IBL327713 ILH327711:ILH327713 IVD327711:IVD327713 JEZ327711:JEZ327713 JOV327711:JOV327713 JYR327711:JYR327713 KIN327711:KIN327713 KSJ327711:KSJ327713 LCF327711:LCF327713 LMB327711:LMB327713 LVX327711:LVX327713 MFT327711:MFT327713 MPP327711:MPP327713 MZL327711:MZL327713 NJH327711:NJH327713 NTD327711:NTD327713 OCZ327711:OCZ327713 OMV327711:OMV327713 OWR327711:OWR327713 PGN327711:PGN327713 PQJ327711:PQJ327713 QAF327711:QAF327713 QKB327711:QKB327713 QTX327711:QTX327713 RDT327711:RDT327713 RNP327711:RNP327713 RXL327711:RXL327713 SHH327711:SHH327713 SRD327711:SRD327713 TAZ327711:TAZ327713 TKV327711:TKV327713 TUR327711:TUR327713 UEN327711:UEN327713 UOJ327711:UOJ327713 UYF327711:UYF327713 VIB327711:VIB327713 VRX327711:VRX327713 WBT327711:WBT327713 WLP327711:WLP327713 WVL327711:WVL327713 D393247:D393249 IZ393247:IZ393249 SV393247:SV393249 ACR393247:ACR393249 AMN393247:AMN393249 AWJ393247:AWJ393249 BGF393247:BGF393249 BQB393247:BQB393249 BZX393247:BZX393249 CJT393247:CJT393249 CTP393247:CTP393249 DDL393247:DDL393249 DNH393247:DNH393249 DXD393247:DXD393249 EGZ393247:EGZ393249 EQV393247:EQV393249 FAR393247:FAR393249 FKN393247:FKN393249 FUJ393247:FUJ393249 GEF393247:GEF393249 GOB393247:GOB393249 GXX393247:GXX393249 HHT393247:HHT393249 HRP393247:HRP393249 IBL393247:IBL393249 ILH393247:ILH393249 IVD393247:IVD393249 JEZ393247:JEZ393249 JOV393247:JOV393249 JYR393247:JYR393249 KIN393247:KIN393249 KSJ393247:KSJ393249 LCF393247:LCF393249 LMB393247:LMB393249 LVX393247:LVX393249 MFT393247:MFT393249 MPP393247:MPP393249 MZL393247:MZL393249 NJH393247:NJH393249 NTD393247:NTD393249 OCZ393247:OCZ393249 OMV393247:OMV393249 OWR393247:OWR393249 PGN393247:PGN393249 PQJ393247:PQJ393249 QAF393247:QAF393249 QKB393247:QKB393249 QTX393247:QTX393249 RDT393247:RDT393249 RNP393247:RNP393249 RXL393247:RXL393249 SHH393247:SHH393249 SRD393247:SRD393249 TAZ393247:TAZ393249 TKV393247:TKV393249 TUR393247:TUR393249 UEN393247:UEN393249 UOJ393247:UOJ393249 UYF393247:UYF393249 VIB393247:VIB393249 VRX393247:VRX393249 WBT393247:WBT393249 WLP393247:WLP393249 WVL393247:WVL393249 D458783:D458785 IZ458783:IZ458785 SV458783:SV458785 ACR458783:ACR458785 AMN458783:AMN458785 AWJ458783:AWJ458785 BGF458783:BGF458785 BQB458783:BQB458785 BZX458783:BZX458785 CJT458783:CJT458785 CTP458783:CTP458785 DDL458783:DDL458785 DNH458783:DNH458785 DXD458783:DXD458785 EGZ458783:EGZ458785 EQV458783:EQV458785 FAR458783:FAR458785 FKN458783:FKN458785 FUJ458783:FUJ458785 GEF458783:GEF458785 GOB458783:GOB458785 GXX458783:GXX458785 HHT458783:HHT458785 HRP458783:HRP458785 IBL458783:IBL458785 ILH458783:ILH458785 IVD458783:IVD458785 JEZ458783:JEZ458785 JOV458783:JOV458785 JYR458783:JYR458785 KIN458783:KIN458785 KSJ458783:KSJ458785 LCF458783:LCF458785 LMB458783:LMB458785 LVX458783:LVX458785 MFT458783:MFT458785 MPP458783:MPP458785 MZL458783:MZL458785 NJH458783:NJH458785 NTD458783:NTD458785 OCZ458783:OCZ458785 OMV458783:OMV458785 OWR458783:OWR458785 PGN458783:PGN458785 PQJ458783:PQJ458785 QAF458783:QAF458785 QKB458783:QKB458785 QTX458783:QTX458785 RDT458783:RDT458785 RNP458783:RNP458785 RXL458783:RXL458785 SHH458783:SHH458785 SRD458783:SRD458785 TAZ458783:TAZ458785 TKV458783:TKV458785 TUR458783:TUR458785 UEN458783:UEN458785 UOJ458783:UOJ458785 UYF458783:UYF458785 VIB458783:VIB458785 VRX458783:VRX458785 WBT458783:WBT458785 WLP458783:WLP458785 WVL458783:WVL458785 D524319:D524321 IZ524319:IZ524321 SV524319:SV524321 ACR524319:ACR524321 AMN524319:AMN524321 AWJ524319:AWJ524321 BGF524319:BGF524321 BQB524319:BQB524321 BZX524319:BZX524321 CJT524319:CJT524321 CTP524319:CTP524321 DDL524319:DDL524321 DNH524319:DNH524321 DXD524319:DXD524321 EGZ524319:EGZ524321 EQV524319:EQV524321 FAR524319:FAR524321 FKN524319:FKN524321 FUJ524319:FUJ524321 GEF524319:GEF524321 GOB524319:GOB524321 GXX524319:GXX524321 HHT524319:HHT524321 HRP524319:HRP524321 IBL524319:IBL524321 ILH524319:ILH524321 IVD524319:IVD524321 JEZ524319:JEZ524321 JOV524319:JOV524321 JYR524319:JYR524321 KIN524319:KIN524321 KSJ524319:KSJ524321 LCF524319:LCF524321 LMB524319:LMB524321 LVX524319:LVX524321 MFT524319:MFT524321 MPP524319:MPP524321 MZL524319:MZL524321 NJH524319:NJH524321 NTD524319:NTD524321 OCZ524319:OCZ524321 OMV524319:OMV524321 OWR524319:OWR524321 PGN524319:PGN524321 PQJ524319:PQJ524321 QAF524319:QAF524321 QKB524319:QKB524321 QTX524319:QTX524321 RDT524319:RDT524321 RNP524319:RNP524321 RXL524319:RXL524321 SHH524319:SHH524321 SRD524319:SRD524321 TAZ524319:TAZ524321 TKV524319:TKV524321 TUR524319:TUR524321 UEN524319:UEN524321 UOJ524319:UOJ524321 UYF524319:UYF524321 VIB524319:VIB524321 VRX524319:VRX524321 WBT524319:WBT524321 WLP524319:WLP524321 WVL524319:WVL524321 D589855:D589857 IZ589855:IZ589857 SV589855:SV589857 ACR589855:ACR589857 AMN589855:AMN589857 AWJ589855:AWJ589857 BGF589855:BGF589857 BQB589855:BQB589857 BZX589855:BZX589857 CJT589855:CJT589857 CTP589855:CTP589857 DDL589855:DDL589857 DNH589855:DNH589857 DXD589855:DXD589857 EGZ589855:EGZ589857 EQV589855:EQV589857 FAR589855:FAR589857 FKN589855:FKN589857 FUJ589855:FUJ589857 GEF589855:GEF589857 GOB589855:GOB589857 GXX589855:GXX589857 HHT589855:HHT589857 HRP589855:HRP589857 IBL589855:IBL589857 ILH589855:ILH589857 IVD589855:IVD589857 JEZ589855:JEZ589857 JOV589855:JOV589857 JYR589855:JYR589857 KIN589855:KIN589857 KSJ589855:KSJ589857 LCF589855:LCF589857 LMB589855:LMB589857 LVX589855:LVX589857 MFT589855:MFT589857 MPP589855:MPP589857 MZL589855:MZL589857 NJH589855:NJH589857 NTD589855:NTD589857 OCZ589855:OCZ589857 OMV589855:OMV589857 OWR589855:OWR589857 PGN589855:PGN589857 PQJ589855:PQJ589857 QAF589855:QAF589857 QKB589855:QKB589857 QTX589855:QTX589857 RDT589855:RDT589857 RNP589855:RNP589857 RXL589855:RXL589857 SHH589855:SHH589857 SRD589855:SRD589857 TAZ589855:TAZ589857 TKV589855:TKV589857 TUR589855:TUR589857 UEN589855:UEN589857 UOJ589855:UOJ589857 UYF589855:UYF589857 VIB589855:VIB589857 VRX589855:VRX589857 WBT589855:WBT589857 WLP589855:WLP589857 WVL589855:WVL589857 D655391:D655393 IZ655391:IZ655393 SV655391:SV655393 ACR655391:ACR655393 AMN655391:AMN655393 AWJ655391:AWJ655393 BGF655391:BGF655393 BQB655391:BQB655393 BZX655391:BZX655393 CJT655391:CJT655393 CTP655391:CTP655393 DDL655391:DDL655393 DNH655391:DNH655393 DXD655391:DXD655393 EGZ655391:EGZ655393 EQV655391:EQV655393 FAR655391:FAR655393 FKN655391:FKN655393 FUJ655391:FUJ655393 GEF655391:GEF655393 GOB655391:GOB655393 GXX655391:GXX655393 HHT655391:HHT655393 HRP655391:HRP655393 IBL655391:IBL655393 ILH655391:ILH655393 IVD655391:IVD655393 JEZ655391:JEZ655393 JOV655391:JOV655393 JYR655391:JYR655393 KIN655391:KIN655393 KSJ655391:KSJ655393 LCF655391:LCF655393 LMB655391:LMB655393 LVX655391:LVX655393 MFT655391:MFT655393 MPP655391:MPP655393 MZL655391:MZL655393 NJH655391:NJH655393 NTD655391:NTD655393 OCZ655391:OCZ655393 OMV655391:OMV655393 OWR655391:OWR655393 PGN655391:PGN655393 PQJ655391:PQJ655393 QAF655391:QAF655393 QKB655391:QKB655393 QTX655391:QTX655393 RDT655391:RDT655393 RNP655391:RNP655393 RXL655391:RXL655393 SHH655391:SHH655393 SRD655391:SRD655393 TAZ655391:TAZ655393 TKV655391:TKV655393 TUR655391:TUR655393 UEN655391:UEN655393 UOJ655391:UOJ655393 UYF655391:UYF655393 VIB655391:VIB655393 VRX655391:VRX655393 WBT655391:WBT655393 WLP655391:WLP655393 WVL655391:WVL655393 D720927:D720929 IZ720927:IZ720929 SV720927:SV720929 ACR720927:ACR720929 AMN720927:AMN720929 AWJ720927:AWJ720929 BGF720927:BGF720929 BQB720927:BQB720929 BZX720927:BZX720929 CJT720927:CJT720929 CTP720927:CTP720929 DDL720927:DDL720929 DNH720927:DNH720929 DXD720927:DXD720929 EGZ720927:EGZ720929 EQV720927:EQV720929 FAR720927:FAR720929 FKN720927:FKN720929 FUJ720927:FUJ720929 GEF720927:GEF720929 GOB720927:GOB720929 GXX720927:GXX720929 HHT720927:HHT720929 HRP720927:HRP720929 IBL720927:IBL720929 ILH720927:ILH720929 IVD720927:IVD720929 JEZ720927:JEZ720929 JOV720927:JOV720929 JYR720927:JYR720929 KIN720927:KIN720929 KSJ720927:KSJ720929 LCF720927:LCF720929 LMB720927:LMB720929 LVX720927:LVX720929 MFT720927:MFT720929 MPP720927:MPP720929 MZL720927:MZL720929 NJH720927:NJH720929 NTD720927:NTD720929 OCZ720927:OCZ720929 OMV720927:OMV720929 OWR720927:OWR720929 PGN720927:PGN720929 PQJ720927:PQJ720929 QAF720927:QAF720929 QKB720927:QKB720929 QTX720927:QTX720929 RDT720927:RDT720929 RNP720927:RNP720929 RXL720927:RXL720929 SHH720927:SHH720929 SRD720927:SRD720929 TAZ720927:TAZ720929 TKV720927:TKV720929 TUR720927:TUR720929 UEN720927:UEN720929 UOJ720927:UOJ720929 UYF720927:UYF720929 VIB720927:VIB720929 VRX720927:VRX720929 WBT720927:WBT720929 WLP720927:WLP720929 WVL720927:WVL720929 D786463:D786465 IZ786463:IZ786465 SV786463:SV786465 ACR786463:ACR786465 AMN786463:AMN786465 AWJ786463:AWJ786465 BGF786463:BGF786465 BQB786463:BQB786465 BZX786463:BZX786465 CJT786463:CJT786465 CTP786463:CTP786465 DDL786463:DDL786465 DNH786463:DNH786465 DXD786463:DXD786465 EGZ786463:EGZ786465 EQV786463:EQV786465 FAR786463:FAR786465 FKN786463:FKN786465 FUJ786463:FUJ786465 GEF786463:GEF786465 GOB786463:GOB786465 GXX786463:GXX786465 HHT786463:HHT786465 HRP786463:HRP786465 IBL786463:IBL786465 ILH786463:ILH786465 IVD786463:IVD786465 JEZ786463:JEZ786465 JOV786463:JOV786465 JYR786463:JYR786465 KIN786463:KIN786465 KSJ786463:KSJ786465 LCF786463:LCF786465 LMB786463:LMB786465 LVX786463:LVX786465 MFT786463:MFT786465 MPP786463:MPP786465 MZL786463:MZL786465 NJH786463:NJH786465 NTD786463:NTD786465 OCZ786463:OCZ786465 OMV786463:OMV786465 OWR786463:OWR786465 PGN786463:PGN786465 PQJ786463:PQJ786465 QAF786463:QAF786465 QKB786463:QKB786465 QTX786463:QTX786465 RDT786463:RDT786465 RNP786463:RNP786465 RXL786463:RXL786465 SHH786463:SHH786465 SRD786463:SRD786465 TAZ786463:TAZ786465 TKV786463:TKV786465 TUR786463:TUR786465 UEN786463:UEN786465 UOJ786463:UOJ786465 UYF786463:UYF786465 VIB786463:VIB786465 VRX786463:VRX786465 WBT786463:WBT786465 WLP786463:WLP786465 WVL786463:WVL786465 D851999:D852001 IZ851999:IZ852001 SV851999:SV852001 ACR851999:ACR852001 AMN851999:AMN852001 AWJ851999:AWJ852001 BGF851999:BGF852001 BQB851999:BQB852001 BZX851999:BZX852001 CJT851999:CJT852001 CTP851999:CTP852001 DDL851999:DDL852001 DNH851999:DNH852001 DXD851999:DXD852001 EGZ851999:EGZ852001 EQV851999:EQV852001 FAR851999:FAR852001 FKN851999:FKN852001 FUJ851999:FUJ852001 GEF851999:GEF852001 GOB851999:GOB852001 GXX851999:GXX852001 HHT851999:HHT852001 HRP851999:HRP852001 IBL851999:IBL852001 ILH851999:ILH852001 IVD851999:IVD852001 JEZ851999:JEZ852001 JOV851999:JOV852001 JYR851999:JYR852001 KIN851999:KIN852001 KSJ851999:KSJ852001 LCF851999:LCF852001 LMB851999:LMB852001 LVX851999:LVX852001 MFT851999:MFT852001 MPP851999:MPP852001 MZL851999:MZL852001 NJH851999:NJH852001 NTD851999:NTD852001 OCZ851999:OCZ852001 OMV851999:OMV852001 OWR851999:OWR852001 PGN851999:PGN852001 PQJ851999:PQJ852001 QAF851999:QAF852001 QKB851999:QKB852001 QTX851999:QTX852001 RDT851999:RDT852001 RNP851999:RNP852001 RXL851999:RXL852001 SHH851999:SHH852001 SRD851999:SRD852001 TAZ851999:TAZ852001 TKV851999:TKV852001 TUR851999:TUR852001 UEN851999:UEN852001 UOJ851999:UOJ852001 UYF851999:UYF852001 VIB851999:VIB852001 VRX851999:VRX852001 WBT851999:WBT852001 WLP851999:WLP852001 WVL851999:WVL852001 D917535:D917537 IZ917535:IZ917537 SV917535:SV917537 ACR917535:ACR917537 AMN917535:AMN917537 AWJ917535:AWJ917537 BGF917535:BGF917537 BQB917535:BQB917537 BZX917535:BZX917537 CJT917535:CJT917537 CTP917535:CTP917537 DDL917535:DDL917537 DNH917535:DNH917537 DXD917535:DXD917537 EGZ917535:EGZ917537 EQV917535:EQV917537 FAR917535:FAR917537 FKN917535:FKN917537 FUJ917535:FUJ917537 GEF917535:GEF917537 GOB917535:GOB917537 GXX917535:GXX917537 HHT917535:HHT917537 HRP917535:HRP917537 IBL917535:IBL917537 ILH917535:ILH917537 IVD917535:IVD917537 JEZ917535:JEZ917537 JOV917535:JOV917537 JYR917535:JYR917537 KIN917535:KIN917537 KSJ917535:KSJ917537 LCF917535:LCF917537 LMB917535:LMB917537 LVX917535:LVX917537 MFT917535:MFT917537 MPP917535:MPP917537 MZL917535:MZL917537 NJH917535:NJH917537 NTD917535:NTD917537 OCZ917535:OCZ917537 OMV917535:OMV917537 OWR917535:OWR917537 PGN917535:PGN917537 PQJ917535:PQJ917537 QAF917535:QAF917537 QKB917535:QKB917537 QTX917535:QTX917537 RDT917535:RDT917537 RNP917535:RNP917537 RXL917535:RXL917537 SHH917535:SHH917537 SRD917535:SRD917537 TAZ917535:TAZ917537 TKV917535:TKV917537 TUR917535:TUR917537 UEN917535:UEN917537 UOJ917535:UOJ917537 UYF917535:UYF917537 VIB917535:VIB917537 VRX917535:VRX917537 WBT917535:WBT917537 WLP917535:WLP917537 WVL917535:WVL917537 D983071:D983073 IZ983071:IZ983073 SV983071:SV983073 ACR983071:ACR983073 AMN983071:AMN983073 AWJ983071:AWJ983073 BGF983071:BGF983073 BQB983071:BQB983073 BZX983071:BZX983073 CJT983071:CJT983073 CTP983071:CTP983073 DDL983071:DDL983073 DNH983071:DNH983073 DXD983071:DXD983073 EGZ983071:EGZ983073 EQV983071:EQV983073 FAR983071:FAR983073 FKN983071:FKN983073 FUJ983071:FUJ983073 GEF983071:GEF983073 GOB983071:GOB983073 GXX983071:GXX983073 HHT983071:HHT983073 HRP983071:HRP983073 IBL983071:IBL983073 ILH983071:ILH983073 IVD983071:IVD983073 JEZ983071:JEZ983073 JOV983071:JOV983073 JYR983071:JYR983073 KIN983071:KIN983073 KSJ983071:KSJ983073 LCF983071:LCF983073 LMB983071:LMB983073 LVX983071:LVX983073 MFT983071:MFT983073 MPP983071:MPP983073 MZL983071:MZL983073 NJH983071:NJH983073 NTD983071:NTD983073 OCZ983071:OCZ983073 OMV983071:OMV983073 OWR983071:OWR983073 PGN983071:PGN983073 PQJ983071:PQJ983073 QAF983071:QAF983073 QKB983071:QKB983073 QTX983071:QTX983073 RDT983071:RDT983073 RNP983071:RNP983073 RXL983071:RXL983073 SHH983071:SHH983073 SRD983071:SRD983073 TAZ983071:TAZ983073 TKV983071:TKV983073 TUR983071:TUR983073 UEN983071:UEN983073 UOJ983071:UOJ983073 UYF983071:UYF983073 VIB983071:VIB983073 VRX983071:VRX983073 WBT983071:WBT983073 WLP983071:WLP983073 WVL983071:WVL983073 WLP983098:WLP983100 IZ20:IZ29 SV20:SV29 ACR20:ACR29 AMN20:AMN29 AWJ20:AWJ29 BGF20:BGF29 BQB20:BQB29 BZX20:BZX29 CJT20:CJT29 CTP20:CTP29 DDL20:DDL29 DNH20:DNH29 DXD20:DXD29 EGZ20:EGZ29 EQV20:EQV29 FAR20:FAR29 FKN20:FKN29 FUJ20:FUJ29 GEF20:GEF29 GOB20:GOB29 GXX20:GXX29 HHT20:HHT29 HRP20:HRP29 IBL20:IBL29 ILH20:ILH29 IVD20:IVD29 JEZ20:JEZ29 JOV20:JOV29 JYR20:JYR29 KIN20:KIN29 KSJ20:KSJ29 LCF20:LCF29 LMB20:LMB29 LVX20:LVX29 MFT20:MFT29 MPP20:MPP29 MZL20:MZL29 NJH20:NJH29 NTD20:NTD29 OCZ20:OCZ29 OMV20:OMV29 OWR20:OWR29 PGN20:PGN29 PQJ20:PQJ29 QAF20:QAF29 QKB20:QKB29 QTX20:QTX29 RDT20:RDT29 RNP20:RNP29 RXL20:RXL29 SHH20:SHH29 SRD20:SRD29 TAZ20:TAZ29 TKV20:TKV29 TUR20:TUR29 UEN20:UEN29 UOJ20:UOJ29 UYF20:UYF29 VIB20:VIB29 VRX20:VRX29 WBT20:WBT29 WLP20:WLP29 WVL20:WVL29 D65556:D65565 IZ65556:IZ65565 SV65556:SV65565 ACR65556:ACR65565 AMN65556:AMN65565 AWJ65556:AWJ65565 BGF65556:BGF65565 BQB65556:BQB65565 BZX65556:BZX65565 CJT65556:CJT65565 CTP65556:CTP65565 DDL65556:DDL65565 DNH65556:DNH65565 DXD65556:DXD65565 EGZ65556:EGZ65565 EQV65556:EQV65565 FAR65556:FAR65565 FKN65556:FKN65565 FUJ65556:FUJ65565 GEF65556:GEF65565 GOB65556:GOB65565 GXX65556:GXX65565 HHT65556:HHT65565 HRP65556:HRP65565 IBL65556:IBL65565 ILH65556:ILH65565 IVD65556:IVD65565 JEZ65556:JEZ65565 JOV65556:JOV65565 JYR65556:JYR65565 KIN65556:KIN65565 KSJ65556:KSJ65565 LCF65556:LCF65565 LMB65556:LMB65565 LVX65556:LVX65565 MFT65556:MFT65565 MPP65556:MPP65565 MZL65556:MZL65565 NJH65556:NJH65565 NTD65556:NTD65565 OCZ65556:OCZ65565 OMV65556:OMV65565 OWR65556:OWR65565 PGN65556:PGN65565 PQJ65556:PQJ65565 QAF65556:QAF65565 QKB65556:QKB65565 QTX65556:QTX65565 RDT65556:RDT65565 RNP65556:RNP65565 RXL65556:RXL65565 SHH65556:SHH65565 SRD65556:SRD65565 TAZ65556:TAZ65565 TKV65556:TKV65565 TUR65556:TUR65565 UEN65556:UEN65565 UOJ65556:UOJ65565 UYF65556:UYF65565 VIB65556:VIB65565 VRX65556:VRX65565 WBT65556:WBT65565 WLP65556:WLP65565 WVL65556:WVL65565 D131092:D131101 IZ131092:IZ131101 SV131092:SV131101 ACR131092:ACR131101 AMN131092:AMN131101 AWJ131092:AWJ131101 BGF131092:BGF131101 BQB131092:BQB131101 BZX131092:BZX131101 CJT131092:CJT131101 CTP131092:CTP131101 DDL131092:DDL131101 DNH131092:DNH131101 DXD131092:DXD131101 EGZ131092:EGZ131101 EQV131092:EQV131101 FAR131092:FAR131101 FKN131092:FKN131101 FUJ131092:FUJ131101 GEF131092:GEF131101 GOB131092:GOB131101 GXX131092:GXX131101 HHT131092:HHT131101 HRP131092:HRP131101 IBL131092:IBL131101 ILH131092:ILH131101 IVD131092:IVD131101 JEZ131092:JEZ131101 JOV131092:JOV131101 JYR131092:JYR131101 KIN131092:KIN131101 KSJ131092:KSJ131101 LCF131092:LCF131101 LMB131092:LMB131101 LVX131092:LVX131101 MFT131092:MFT131101 MPP131092:MPP131101 MZL131092:MZL131101 NJH131092:NJH131101 NTD131092:NTD131101 OCZ131092:OCZ131101 OMV131092:OMV131101 OWR131092:OWR131101 PGN131092:PGN131101 PQJ131092:PQJ131101 QAF131092:QAF131101 QKB131092:QKB131101 QTX131092:QTX131101 RDT131092:RDT131101 RNP131092:RNP131101 RXL131092:RXL131101 SHH131092:SHH131101 SRD131092:SRD131101 TAZ131092:TAZ131101 TKV131092:TKV131101 TUR131092:TUR131101 UEN131092:UEN131101 UOJ131092:UOJ131101 UYF131092:UYF131101 VIB131092:VIB131101 VRX131092:VRX131101 WBT131092:WBT131101 WLP131092:WLP131101 WVL131092:WVL131101 D196628:D196637 IZ196628:IZ196637 SV196628:SV196637 ACR196628:ACR196637 AMN196628:AMN196637 AWJ196628:AWJ196637 BGF196628:BGF196637 BQB196628:BQB196637 BZX196628:BZX196637 CJT196628:CJT196637 CTP196628:CTP196637 DDL196628:DDL196637 DNH196628:DNH196637 DXD196628:DXD196637 EGZ196628:EGZ196637 EQV196628:EQV196637 FAR196628:FAR196637 FKN196628:FKN196637 FUJ196628:FUJ196637 GEF196628:GEF196637 GOB196628:GOB196637 GXX196628:GXX196637 HHT196628:HHT196637 HRP196628:HRP196637 IBL196628:IBL196637 ILH196628:ILH196637 IVD196628:IVD196637 JEZ196628:JEZ196637 JOV196628:JOV196637 JYR196628:JYR196637 KIN196628:KIN196637 KSJ196628:KSJ196637 LCF196628:LCF196637 LMB196628:LMB196637 LVX196628:LVX196637 MFT196628:MFT196637 MPP196628:MPP196637 MZL196628:MZL196637 NJH196628:NJH196637 NTD196628:NTD196637 OCZ196628:OCZ196637 OMV196628:OMV196637 OWR196628:OWR196637 PGN196628:PGN196637 PQJ196628:PQJ196637 QAF196628:QAF196637 QKB196628:QKB196637 QTX196628:QTX196637 RDT196628:RDT196637 RNP196628:RNP196637 RXL196628:RXL196637 SHH196628:SHH196637 SRD196628:SRD196637 TAZ196628:TAZ196637 TKV196628:TKV196637 TUR196628:TUR196637 UEN196628:UEN196637 UOJ196628:UOJ196637 UYF196628:UYF196637 VIB196628:VIB196637 VRX196628:VRX196637 WBT196628:WBT196637 WLP196628:WLP196637 WVL196628:WVL196637 D262164:D262173 IZ262164:IZ262173 SV262164:SV262173 ACR262164:ACR262173 AMN262164:AMN262173 AWJ262164:AWJ262173 BGF262164:BGF262173 BQB262164:BQB262173 BZX262164:BZX262173 CJT262164:CJT262173 CTP262164:CTP262173 DDL262164:DDL262173 DNH262164:DNH262173 DXD262164:DXD262173 EGZ262164:EGZ262173 EQV262164:EQV262173 FAR262164:FAR262173 FKN262164:FKN262173 FUJ262164:FUJ262173 GEF262164:GEF262173 GOB262164:GOB262173 GXX262164:GXX262173 HHT262164:HHT262173 HRP262164:HRP262173 IBL262164:IBL262173 ILH262164:ILH262173 IVD262164:IVD262173 JEZ262164:JEZ262173 JOV262164:JOV262173 JYR262164:JYR262173 KIN262164:KIN262173 KSJ262164:KSJ262173 LCF262164:LCF262173 LMB262164:LMB262173 LVX262164:LVX262173 MFT262164:MFT262173 MPP262164:MPP262173 MZL262164:MZL262173 NJH262164:NJH262173 NTD262164:NTD262173 OCZ262164:OCZ262173 OMV262164:OMV262173 OWR262164:OWR262173 PGN262164:PGN262173 PQJ262164:PQJ262173 QAF262164:QAF262173 QKB262164:QKB262173 QTX262164:QTX262173 RDT262164:RDT262173 RNP262164:RNP262173 RXL262164:RXL262173 SHH262164:SHH262173 SRD262164:SRD262173 TAZ262164:TAZ262173 TKV262164:TKV262173 TUR262164:TUR262173 UEN262164:UEN262173 UOJ262164:UOJ262173 UYF262164:UYF262173 VIB262164:VIB262173 VRX262164:VRX262173 WBT262164:WBT262173 WLP262164:WLP262173 WVL262164:WVL262173 D327700:D327709 IZ327700:IZ327709 SV327700:SV327709 ACR327700:ACR327709 AMN327700:AMN327709 AWJ327700:AWJ327709 BGF327700:BGF327709 BQB327700:BQB327709 BZX327700:BZX327709 CJT327700:CJT327709 CTP327700:CTP327709 DDL327700:DDL327709 DNH327700:DNH327709 DXD327700:DXD327709 EGZ327700:EGZ327709 EQV327700:EQV327709 FAR327700:FAR327709 FKN327700:FKN327709 FUJ327700:FUJ327709 GEF327700:GEF327709 GOB327700:GOB327709 GXX327700:GXX327709 HHT327700:HHT327709 HRP327700:HRP327709 IBL327700:IBL327709 ILH327700:ILH327709 IVD327700:IVD327709 JEZ327700:JEZ327709 JOV327700:JOV327709 JYR327700:JYR327709 KIN327700:KIN327709 KSJ327700:KSJ327709 LCF327700:LCF327709 LMB327700:LMB327709 LVX327700:LVX327709 MFT327700:MFT327709 MPP327700:MPP327709 MZL327700:MZL327709 NJH327700:NJH327709 NTD327700:NTD327709 OCZ327700:OCZ327709 OMV327700:OMV327709 OWR327700:OWR327709 PGN327700:PGN327709 PQJ327700:PQJ327709 QAF327700:QAF327709 QKB327700:QKB327709 QTX327700:QTX327709 RDT327700:RDT327709 RNP327700:RNP327709 RXL327700:RXL327709 SHH327700:SHH327709 SRD327700:SRD327709 TAZ327700:TAZ327709 TKV327700:TKV327709 TUR327700:TUR327709 UEN327700:UEN327709 UOJ327700:UOJ327709 UYF327700:UYF327709 VIB327700:VIB327709 VRX327700:VRX327709 WBT327700:WBT327709 WLP327700:WLP327709 WVL327700:WVL327709 D393236:D393245 IZ393236:IZ393245 SV393236:SV393245 ACR393236:ACR393245 AMN393236:AMN393245 AWJ393236:AWJ393245 BGF393236:BGF393245 BQB393236:BQB393245 BZX393236:BZX393245 CJT393236:CJT393245 CTP393236:CTP393245 DDL393236:DDL393245 DNH393236:DNH393245 DXD393236:DXD393245 EGZ393236:EGZ393245 EQV393236:EQV393245 FAR393236:FAR393245 FKN393236:FKN393245 FUJ393236:FUJ393245 GEF393236:GEF393245 GOB393236:GOB393245 GXX393236:GXX393245 HHT393236:HHT393245 HRP393236:HRP393245 IBL393236:IBL393245 ILH393236:ILH393245 IVD393236:IVD393245 JEZ393236:JEZ393245 JOV393236:JOV393245 JYR393236:JYR393245 KIN393236:KIN393245 KSJ393236:KSJ393245 LCF393236:LCF393245 LMB393236:LMB393245 LVX393236:LVX393245 MFT393236:MFT393245 MPP393236:MPP393245 MZL393236:MZL393245 NJH393236:NJH393245 NTD393236:NTD393245 OCZ393236:OCZ393245 OMV393236:OMV393245 OWR393236:OWR393245 PGN393236:PGN393245 PQJ393236:PQJ393245 QAF393236:QAF393245 QKB393236:QKB393245 QTX393236:QTX393245 RDT393236:RDT393245 RNP393236:RNP393245 RXL393236:RXL393245 SHH393236:SHH393245 SRD393236:SRD393245 TAZ393236:TAZ393245 TKV393236:TKV393245 TUR393236:TUR393245 UEN393236:UEN393245 UOJ393236:UOJ393245 UYF393236:UYF393245 VIB393236:VIB393245 VRX393236:VRX393245 WBT393236:WBT393245 WLP393236:WLP393245 WVL393236:WVL393245 D458772:D458781 IZ458772:IZ458781 SV458772:SV458781 ACR458772:ACR458781 AMN458772:AMN458781 AWJ458772:AWJ458781 BGF458772:BGF458781 BQB458772:BQB458781 BZX458772:BZX458781 CJT458772:CJT458781 CTP458772:CTP458781 DDL458772:DDL458781 DNH458772:DNH458781 DXD458772:DXD458781 EGZ458772:EGZ458781 EQV458772:EQV458781 FAR458772:FAR458781 FKN458772:FKN458781 FUJ458772:FUJ458781 GEF458772:GEF458781 GOB458772:GOB458781 GXX458772:GXX458781 HHT458772:HHT458781 HRP458772:HRP458781 IBL458772:IBL458781 ILH458772:ILH458781 IVD458772:IVD458781 JEZ458772:JEZ458781 JOV458772:JOV458781 JYR458772:JYR458781 KIN458772:KIN458781 KSJ458772:KSJ458781 LCF458772:LCF458781 LMB458772:LMB458781 LVX458772:LVX458781 MFT458772:MFT458781 MPP458772:MPP458781 MZL458772:MZL458781 NJH458772:NJH458781 NTD458772:NTD458781 OCZ458772:OCZ458781 OMV458772:OMV458781 OWR458772:OWR458781 PGN458772:PGN458781 PQJ458772:PQJ458781 QAF458772:QAF458781 QKB458772:QKB458781 QTX458772:QTX458781 RDT458772:RDT458781 RNP458772:RNP458781 RXL458772:RXL458781 SHH458772:SHH458781 SRD458772:SRD458781 TAZ458772:TAZ458781 TKV458772:TKV458781 TUR458772:TUR458781 UEN458772:UEN458781 UOJ458772:UOJ458781 UYF458772:UYF458781 VIB458772:VIB458781 VRX458772:VRX458781 WBT458772:WBT458781 WLP458772:WLP458781 WVL458772:WVL458781 D524308:D524317 IZ524308:IZ524317 SV524308:SV524317 ACR524308:ACR524317 AMN524308:AMN524317 AWJ524308:AWJ524317 BGF524308:BGF524317 BQB524308:BQB524317 BZX524308:BZX524317 CJT524308:CJT524317 CTP524308:CTP524317 DDL524308:DDL524317 DNH524308:DNH524317 DXD524308:DXD524317 EGZ524308:EGZ524317 EQV524308:EQV524317 FAR524308:FAR524317 FKN524308:FKN524317 FUJ524308:FUJ524317 GEF524308:GEF524317 GOB524308:GOB524317 GXX524308:GXX524317 HHT524308:HHT524317 HRP524308:HRP524317 IBL524308:IBL524317 ILH524308:ILH524317 IVD524308:IVD524317 JEZ524308:JEZ524317 JOV524308:JOV524317 JYR524308:JYR524317 KIN524308:KIN524317 KSJ524308:KSJ524317 LCF524308:LCF524317 LMB524308:LMB524317 LVX524308:LVX524317 MFT524308:MFT524317 MPP524308:MPP524317 MZL524308:MZL524317 NJH524308:NJH524317 NTD524308:NTD524317 OCZ524308:OCZ524317 OMV524308:OMV524317 OWR524308:OWR524317 PGN524308:PGN524317 PQJ524308:PQJ524317 QAF524308:QAF524317 QKB524308:QKB524317 QTX524308:QTX524317 RDT524308:RDT524317 RNP524308:RNP524317 RXL524308:RXL524317 SHH524308:SHH524317 SRD524308:SRD524317 TAZ524308:TAZ524317 TKV524308:TKV524317 TUR524308:TUR524317 UEN524308:UEN524317 UOJ524308:UOJ524317 UYF524308:UYF524317 VIB524308:VIB524317 VRX524308:VRX524317 WBT524308:WBT524317 WLP524308:WLP524317 WVL524308:WVL524317 D589844:D589853 IZ589844:IZ589853 SV589844:SV589853 ACR589844:ACR589853 AMN589844:AMN589853 AWJ589844:AWJ589853 BGF589844:BGF589853 BQB589844:BQB589853 BZX589844:BZX589853 CJT589844:CJT589853 CTP589844:CTP589853 DDL589844:DDL589853 DNH589844:DNH589853 DXD589844:DXD589853 EGZ589844:EGZ589853 EQV589844:EQV589853 FAR589844:FAR589853 FKN589844:FKN589853 FUJ589844:FUJ589853 GEF589844:GEF589853 GOB589844:GOB589853 GXX589844:GXX589853 HHT589844:HHT589853 HRP589844:HRP589853 IBL589844:IBL589853 ILH589844:ILH589853 IVD589844:IVD589853 JEZ589844:JEZ589853 JOV589844:JOV589853 JYR589844:JYR589853 KIN589844:KIN589853 KSJ589844:KSJ589853 LCF589844:LCF589853 LMB589844:LMB589853 LVX589844:LVX589853 MFT589844:MFT589853 MPP589844:MPP589853 MZL589844:MZL589853 NJH589844:NJH589853 NTD589844:NTD589853 OCZ589844:OCZ589853 OMV589844:OMV589853 OWR589844:OWR589853 PGN589844:PGN589853 PQJ589844:PQJ589853 QAF589844:QAF589853 QKB589844:QKB589853 QTX589844:QTX589853 RDT589844:RDT589853 RNP589844:RNP589853 RXL589844:RXL589853 SHH589844:SHH589853 SRD589844:SRD589853 TAZ589844:TAZ589853 TKV589844:TKV589853 TUR589844:TUR589853 UEN589844:UEN589853 UOJ589844:UOJ589853 UYF589844:UYF589853 VIB589844:VIB589853 VRX589844:VRX589853 WBT589844:WBT589853 WLP589844:WLP589853 WVL589844:WVL589853 D655380:D655389 IZ655380:IZ655389 SV655380:SV655389 ACR655380:ACR655389 AMN655380:AMN655389 AWJ655380:AWJ655389 BGF655380:BGF655389 BQB655380:BQB655389 BZX655380:BZX655389 CJT655380:CJT655389 CTP655380:CTP655389 DDL655380:DDL655389 DNH655380:DNH655389 DXD655380:DXD655389 EGZ655380:EGZ655389 EQV655380:EQV655389 FAR655380:FAR655389 FKN655380:FKN655389 FUJ655380:FUJ655389 GEF655380:GEF655389 GOB655380:GOB655389 GXX655380:GXX655389 HHT655380:HHT655389 HRP655380:HRP655389 IBL655380:IBL655389 ILH655380:ILH655389 IVD655380:IVD655389 JEZ655380:JEZ655389 JOV655380:JOV655389 JYR655380:JYR655389 KIN655380:KIN655389 KSJ655380:KSJ655389 LCF655380:LCF655389 LMB655380:LMB655389 LVX655380:LVX655389 MFT655380:MFT655389 MPP655380:MPP655389 MZL655380:MZL655389 NJH655380:NJH655389 NTD655380:NTD655389 OCZ655380:OCZ655389 OMV655380:OMV655389 OWR655380:OWR655389 PGN655380:PGN655389 PQJ655380:PQJ655389 QAF655380:QAF655389 QKB655380:QKB655389 QTX655380:QTX655389 RDT655380:RDT655389 RNP655380:RNP655389 RXL655380:RXL655389 SHH655380:SHH655389 SRD655380:SRD655389 TAZ655380:TAZ655389 TKV655380:TKV655389 TUR655380:TUR655389 UEN655380:UEN655389 UOJ655380:UOJ655389 UYF655380:UYF655389 VIB655380:VIB655389 VRX655380:VRX655389 WBT655380:WBT655389 WLP655380:WLP655389 WVL655380:WVL655389 D720916:D720925 IZ720916:IZ720925 SV720916:SV720925 ACR720916:ACR720925 AMN720916:AMN720925 AWJ720916:AWJ720925 BGF720916:BGF720925 BQB720916:BQB720925 BZX720916:BZX720925 CJT720916:CJT720925 CTP720916:CTP720925 DDL720916:DDL720925 DNH720916:DNH720925 DXD720916:DXD720925 EGZ720916:EGZ720925 EQV720916:EQV720925 FAR720916:FAR720925 FKN720916:FKN720925 FUJ720916:FUJ720925 GEF720916:GEF720925 GOB720916:GOB720925 GXX720916:GXX720925 HHT720916:HHT720925 HRP720916:HRP720925 IBL720916:IBL720925 ILH720916:ILH720925 IVD720916:IVD720925 JEZ720916:JEZ720925 JOV720916:JOV720925 JYR720916:JYR720925 KIN720916:KIN720925 KSJ720916:KSJ720925 LCF720916:LCF720925 LMB720916:LMB720925 LVX720916:LVX720925 MFT720916:MFT720925 MPP720916:MPP720925 MZL720916:MZL720925 NJH720916:NJH720925 NTD720916:NTD720925 OCZ720916:OCZ720925 OMV720916:OMV720925 OWR720916:OWR720925 PGN720916:PGN720925 PQJ720916:PQJ720925 QAF720916:QAF720925 QKB720916:QKB720925 QTX720916:QTX720925 RDT720916:RDT720925 RNP720916:RNP720925 RXL720916:RXL720925 SHH720916:SHH720925 SRD720916:SRD720925 TAZ720916:TAZ720925 TKV720916:TKV720925 TUR720916:TUR720925 UEN720916:UEN720925 UOJ720916:UOJ720925 UYF720916:UYF720925 VIB720916:VIB720925 VRX720916:VRX720925 WBT720916:WBT720925 WLP720916:WLP720925 WVL720916:WVL720925 D786452:D786461 IZ786452:IZ786461 SV786452:SV786461 ACR786452:ACR786461 AMN786452:AMN786461 AWJ786452:AWJ786461 BGF786452:BGF786461 BQB786452:BQB786461 BZX786452:BZX786461 CJT786452:CJT786461 CTP786452:CTP786461 DDL786452:DDL786461 DNH786452:DNH786461 DXD786452:DXD786461 EGZ786452:EGZ786461 EQV786452:EQV786461 FAR786452:FAR786461 FKN786452:FKN786461 FUJ786452:FUJ786461 GEF786452:GEF786461 GOB786452:GOB786461 GXX786452:GXX786461 HHT786452:HHT786461 HRP786452:HRP786461 IBL786452:IBL786461 ILH786452:ILH786461 IVD786452:IVD786461 JEZ786452:JEZ786461 JOV786452:JOV786461 JYR786452:JYR786461 KIN786452:KIN786461 KSJ786452:KSJ786461 LCF786452:LCF786461 LMB786452:LMB786461 LVX786452:LVX786461 MFT786452:MFT786461 MPP786452:MPP786461 MZL786452:MZL786461 NJH786452:NJH786461 NTD786452:NTD786461 OCZ786452:OCZ786461 OMV786452:OMV786461 OWR786452:OWR786461 PGN786452:PGN786461 PQJ786452:PQJ786461 QAF786452:QAF786461 QKB786452:QKB786461 QTX786452:QTX786461 RDT786452:RDT786461 RNP786452:RNP786461 RXL786452:RXL786461 SHH786452:SHH786461 SRD786452:SRD786461 TAZ786452:TAZ786461 TKV786452:TKV786461 TUR786452:TUR786461 UEN786452:UEN786461 UOJ786452:UOJ786461 UYF786452:UYF786461 VIB786452:VIB786461 VRX786452:VRX786461 WBT786452:WBT786461 WLP786452:WLP786461 WVL786452:WVL786461 D851988:D851997 IZ851988:IZ851997 SV851988:SV851997 ACR851988:ACR851997 AMN851988:AMN851997 AWJ851988:AWJ851997 BGF851988:BGF851997 BQB851988:BQB851997 BZX851988:BZX851997 CJT851988:CJT851997 CTP851988:CTP851997 DDL851988:DDL851997 DNH851988:DNH851997 DXD851988:DXD851997 EGZ851988:EGZ851997 EQV851988:EQV851997 FAR851988:FAR851997 FKN851988:FKN851997 FUJ851988:FUJ851997 GEF851988:GEF851997 GOB851988:GOB851997 GXX851988:GXX851997 HHT851988:HHT851997 HRP851988:HRP851997 IBL851988:IBL851997 ILH851988:ILH851997 IVD851988:IVD851997 JEZ851988:JEZ851997 JOV851988:JOV851997 JYR851988:JYR851997 KIN851988:KIN851997 KSJ851988:KSJ851997 LCF851988:LCF851997 LMB851988:LMB851997 LVX851988:LVX851997 MFT851988:MFT851997 MPP851988:MPP851997 MZL851988:MZL851997 NJH851988:NJH851997 NTD851988:NTD851997 OCZ851988:OCZ851997 OMV851988:OMV851997 OWR851988:OWR851997 PGN851988:PGN851997 PQJ851988:PQJ851997 QAF851988:QAF851997 QKB851988:QKB851997 QTX851988:QTX851997 RDT851988:RDT851997 RNP851988:RNP851997 RXL851988:RXL851997 SHH851988:SHH851997 SRD851988:SRD851997 TAZ851988:TAZ851997 TKV851988:TKV851997 TUR851988:TUR851997 UEN851988:UEN851997 UOJ851988:UOJ851997 UYF851988:UYF851997 VIB851988:VIB851997 VRX851988:VRX851997 WBT851988:WBT851997 WLP851988:WLP851997 WVL851988:WVL851997 D917524:D917533 IZ917524:IZ917533 SV917524:SV917533 ACR917524:ACR917533 AMN917524:AMN917533 AWJ917524:AWJ917533 BGF917524:BGF917533 BQB917524:BQB917533 BZX917524:BZX917533 CJT917524:CJT917533 CTP917524:CTP917533 DDL917524:DDL917533 DNH917524:DNH917533 DXD917524:DXD917533 EGZ917524:EGZ917533 EQV917524:EQV917533 FAR917524:FAR917533 FKN917524:FKN917533 FUJ917524:FUJ917533 GEF917524:GEF917533 GOB917524:GOB917533 GXX917524:GXX917533 HHT917524:HHT917533 HRP917524:HRP917533 IBL917524:IBL917533 ILH917524:ILH917533 IVD917524:IVD917533 JEZ917524:JEZ917533 JOV917524:JOV917533 JYR917524:JYR917533 KIN917524:KIN917533 KSJ917524:KSJ917533 LCF917524:LCF917533 LMB917524:LMB917533 LVX917524:LVX917533 MFT917524:MFT917533 MPP917524:MPP917533 MZL917524:MZL917533 NJH917524:NJH917533 NTD917524:NTD917533 OCZ917524:OCZ917533 OMV917524:OMV917533 OWR917524:OWR917533 PGN917524:PGN917533 PQJ917524:PQJ917533 QAF917524:QAF917533 QKB917524:QKB917533 QTX917524:QTX917533 RDT917524:RDT917533 RNP917524:RNP917533 RXL917524:RXL917533 SHH917524:SHH917533 SRD917524:SRD917533 TAZ917524:TAZ917533 TKV917524:TKV917533 TUR917524:TUR917533 UEN917524:UEN917533 UOJ917524:UOJ917533 UYF917524:UYF917533 VIB917524:VIB917533 VRX917524:VRX917533 WBT917524:WBT917533 WLP917524:WLP917533 WVL917524:WVL917533 D983060:D983069 IZ983060:IZ983069 SV983060:SV983069 ACR983060:ACR983069 AMN983060:AMN983069 AWJ983060:AWJ983069 BGF983060:BGF983069 BQB983060:BQB983069 BZX983060:BZX983069 CJT983060:CJT983069 CTP983060:CTP983069 DDL983060:DDL983069 DNH983060:DNH983069 DXD983060:DXD983069 EGZ983060:EGZ983069 EQV983060:EQV983069 FAR983060:FAR983069 FKN983060:FKN983069 FUJ983060:FUJ983069 GEF983060:GEF983069 GOB983060:GOB983069 GXX983060:GXX983069 HHT983060:HHT983069 HRP983060:HRP983069 IBL983060:IBL983069 ILH983060:ILH983069 IVD983060:IVD983069 JEZ983060:JEZ983069 JOV983060:JOV983069 JYR983060:JYR983069 KIN983060:KIN983069 KSJ983060:KSJ983069 LCF983060:LCF983069 LMB983060:LMB983069 LVX983060:LVX983069 MFT983060:MFT983069 MPP983060:MPP983069 MZL983060:MZL983069 NJH983060:NJH983069 NTD983060:NTD983069 OCZ983060:OCZ983069 OMV983060:OMV983069 OWR983060:OWR983069 PGN983060:PGN983069 PQJ983060:PQJ983069 QAF983060:QAF983069 QKB983060:QKB983069 QTX983060:QTX983069 RDT983060:RDT983069 RNP983060:RNP983069 RXL983060:RXL983069 SHH983060:SHH983069 SRD983060:SRD983069 TAZ983060:TAZ983069 TKV983060:TKV983069 TUR983060:TUR983069 UEN983060:UEN983069 UOJ983060:UOJ983069 UYF983060:UYF983069 VIB983060:VIB983069 VRX983060:VRX983069 WBT983060:WBT983069 WLP983060:WLP983069 WVL983060:WVL983069 D44 IZ46:IZ47 SV46:SV47 ACR46:ACR47 AMN46:AMN47 AWJ46:AWJ47 BGF46:BGF47 BQB46:BQB47 BZX46:BZX47 CJT46:CJT47 CTP46:CTP47 DDL46:DDL47 DNH46:DNH47 DXD46:DXD47 EGZ46:EGZ47 EQV46:EQV47 FAR46:FAR47 FKN46:FKN47 FUJ46:FUJ47 GEF46:GEF47 GOB46:GOB47 GXX46:GXX47 HHT46:HHT47 HRP46:HRP47 IBL46:IBL47 ILH46:ILH47 IVD46:IVD47 JEZ46:JEZ47 JOV46:JOV47 JYR46:JYR47 KIN46:KIN47 KSJ46:KSJ47 LCF46:LCF47 LMB46:LMB47 LVX46:LVX47 MFT46:MFT47 MPP46:MPP47 MZL46:MZL47 NJH46:NJH47 NTD46:NTD47 OCZ46:OCZ47 OMV46:OMV47 OWR46:OWR47 PGN46:PGN47 PQJ46:PQJ47 QAF46:QAF47 QKB46:QKB47 QTX46:QTX47 RDT46:RDT47 RNP46:RNP47 RXL46:RXL47 SHH46:SHH47 SRD46:SRD47 TAZ46:TAZ47 TKV46:TKV47 TUR46:TUR47 UEN46:UEN47 UOJ46:UOJ47 UYF46:UYF47 VIB46:VIB47 VRX46:VRX47 WBT46:WBT47 WLP46:WLP47 WVL46:WVL47 D65582:D65583 IZ65582:IZ65583 SV65582:SV65583 ACR65582:ACR65583 AMN65582:AMN65583 AWJ65582:AWJ65583 BGF65582:BGF65583 BQB65582:BQB65583 BZX65582:BZX65583 CJT65582:CJT65583 CTP65582:CTP65583 DDL65582:DDL65583 DNH65582:DNH65583 DXD65582:DXD65583 EGZ65582:EGZ65583 EQV65582:EQV65583 FAR65582:FAR65583 FKN65582:FKN65583 FUJ65582:FUJ65583 GEF65582:GEF65583 GOB65582:GOB65583 GXX65582:GXX65583 HHT65582:HHT65583 HRP65582:HRP65583 IBL65582:IBL65583 ILH65582:ILH65583 IVD65582:IVD65583 JEZ65582:JEZ65583 JOV65582:JOV65583 JYR65582:JYR65583 KIN65582:KIN65583 KSJ65582:KSJ65583 LCF65582:LCF65583 LMB65582:LMB65583 LVX65582:LVX65583 MFT65582:MFT65583 MPP65582:MPP65583 MZL65582:MZL65583 NJH65582:NJH65583 NTD65582:NTD65583 OCZ65582:OCZ65583 OMV65582:OMV65583 OWR65582:OWR65583 PGN65582:PGN65583 PQJ65582:PQJ65583 QAF65582:QAF65583 QKB65582:QKB65583 QTX65582:QTX65583 RDT65582:RDT65583 RNP65582:RNP65583 RXL65582:RXL65583 SHH65582:SHH65583 SRD65582:SRD65583 TAZ65582:TAZ65583 TKV65582:TKV65583 TUR65582:TUR65583 UEN65582:UEN65583 UOJ65582:UOJ65583 UYF65582:UYF65583 VIB65582:VIB65583 VRX65582:VRX65583 WBT65582:WBT65583 WLP65582:WLP65583 WVL65582:WVL65583 D131118:D131119 IZ131118:IZ131119 SV131118:SV131119 ACR131118:ACR131119 AMN131118:AMN131119 AWJ131118:AWJ131119 BGF131118:BGF131119 BQB131118:BQB131119 BZX131118:BZX131119 CJT131118:CJT131119 CTP131118:CTP131119 DDL131118:DDL131119 DNH131118:DNH131119 DXD131118:DXD131119 EGZ131118:EGZ131119 EQV131118:EQV131119 FAR131118:FAR131119 FKN131118:FKN131119 FUJ131118:FUJ131119 GEF131118:GEF131119 GOB131118:GOB131119 GXX131118:GXX131119 HHT131118:HHT131119 HRP131118:HRP131119 IBL131118:IBL131119 ILH131118:ILH131119 IVD131118:IVD131119 JEZ131118:JEZ131119 JOV131118:JOV131119 JYR131118:JYR131119 KIN131118:KIN131119 KSJ131118:KSJ131119 LCF131118:LCF131119 LMB131118:LMB131119 LVX131118:LVX131119 MFT131118:MFT131119 MPP131118:MPP131119 MZL131118:MZL131119 NJH131118:NJH131119 NTD131118:NTD131119 OCZ131118:OCZ131119 OMV131118:OMV131119 OWR131118:OWR131119 PGN131118:PGN131119 PQJ131118:PQJ131119 QAF131118:QAF131119 QKB131118:QKB131119 QTX131118:QTX131119 RDT131118:RDT131119 RNP131118:RNP131119 RXL131118:RXL131119 SHH131118:SHH131119 SRD131118:SRD131119 TAZ131118:TAZ131119 TKV131118:TKV131119 TUR131118:TUR131119 UEN131118:UEN131119 UOJ131118:UOJ131119 UYF131118:UYF131119 VIB131118:VIB131119 VRX131118:VRX131119 WBT131118:WBT131119 WLP131118:WLP131119 WVL131118:WVL131119 D196654:D196655 IZ196654:IZ196655 SV196654:SV196655 ACR196654:ACR196655 AMN196654:AMN196655 AWJ196654:AWJ196655 BGF196654:BGF196655 BQB196654:BQB196655 BZX196654:BZX196655 CJT196654:CJT196655 CTP196654:CTP196655 DDL196654:DDL196655 DNH196654:DNH196655 DXD196654:DXD196655 EGZ196654:EGZ196655 EQV196654:EQV196655 FAR196654:FAR196655 FKN196654:FKN196655 FUJ196654:FUJ196655 GEF196654:GEF196655 GOB196654:GOB196655 GXX196654:GXX196655 HHT196654:HHT196655 HRP196654:HRP196655 IBL196654:IBL196655 ILH196654:ILH196655 IVD196654:IVD196655 JEZ196654:JEZ196655 JOV196654:JOV196655 JYR196654:JYR196655 KIN196654:KIN196655 KSJ196654:KSJ196655 LCF196654:LCF196655 LMB196654:LMB196655 LVX196654:LVX196655 MFT196654:MFT196655 MPP196654:MPP196655 MZL196654:MZL196655 NJH196654:NJH196655 NTD196654:NTD196655 OCZ196654:OCZ196655 OMV196654:OMV196655 OWR196654:OWR196655 PGN196654:PGN196655 PQJ196654:PQJ196655 QAF196654:QAF196655 QKB196654:QKB196655 QTX196654:QTX196655 RDT196654:RDT196655 RNP196654:RNP196655 RXL196654:RXL196655 SHH196654:SHH196655 SRD196654:SRD196655 TAZ196654:TAZ196655 TKV196654:TKV196655 TUR196654:TUR196655 UEN196654:UEN196655 UOJ196654:UOJ196655 UYF196654:UYF196655 VIB196654:VIB196655 VRX196654:VRX196655 WBT196654:WBT196655 WLP196654:WLP196655 WVL196654:WVL196655 D262190:D262191 IZ262190:IZ262191 SV262190:SV262191 ACR262190:ACR262191 AMN262190:AMN262191 AWJ262190:AWJ262191 BGF262190:BGF262191 BQB262190:BQB262191 BZX262190:BZX262191 CJT262190:CJT262191 CTP262190:CTP262191 DDL262190:DDL262191 DNH262190:DNH262191 DXD262190:DXD262191 EGZ262190:EGZ262191 EQV262190:EQV262191 FAR262190:FAR262191 FKN262190:FKN262191 FUJ262190:FUJ262191 GEF262190:GEF262191 GOB262190:GOB262191 GXX262190:GXX262191 HHT262190:HHT262191 HRP262190:HRP262191 IBL262190:IBL262191 ILH262190:ILH262191 IVD262190:IVD262191 JEZ262190:JEZ262191 JOV262190:JOV262191 JYR262190:JYR262191 KIN262190:KIN262191 KSJ262190:KSJ262191 LCF262190:LCF262191 LMB262190:LMB262191 LVX262190:LVX262191 MFT262190:MFT262191 MPP262190:MPP262191 MZL262190:MZL262191 NJH262190:NJH262191 NTD262190:NTD262191 OCZ262190:OCZ262191 OMV262190:OMV262191 OWR262190:OWR262191 PGN262190:PGN262191 PQJ262190:PQJ262191 QAF262190:QAF262191 QKB262190:QKB262191 QTX262190:QTX262191 RDT262190:RDT262191 RNP262190:RNP262191 RXL262190:RXL262191 SHH262190:SHH262191 SRD262190:SRD262191 TAZ262190:TAZ262191 TKV262190:TKV262191 TUR262190:TUR262191 UEN262190:UEN262191 UOJ262190:UOJ262191 UYF262190:UYF262191 VIB262190:VIB262191 VRX262190:VRX262191 WBT262190:WBT262191 WLP262190:WLP262191 WVL262190:WVL262191 D327726:D327727 IZ327726:IZ327727 SV327726:SV327727 ACR327726:ACR327727 AMN327726:AMN327727 AWJ327726:AWJ327727 BGF327726:BGF327727 BQB327726:BQB327727 BZX327726:BZX327727 CJT327726:CJT327727 CTP327726:CTP327727 DDL327726:DDL327727 DNH327726:DNH327727 DXD327726:DXD327727 EGZ327726:EGZ327727 EQV327726:EQV327727 FAR327726:FAR327727 FKN327726:FKN327727 FUJ327726:FUJ327727 GEF327726:GEF327727 GOB327726:GOB327727 GXX327726:GXX327727 HHT327726:HHT327727 HRP327726:HRP327727 IBL327726:IBL327727 ILH327726:ILH327727 IVD327726:IVD327727 JEZ327726:JEZ327727 JOV327726:JOV327727 JYR327726:JYR327727 KIN327726:KIN327727 KSJ327726:KSJ327727 LCF327726:LCF327727 LMB327726:LMB327727 LVX327726:LVX327727 MFT327726:MFT327727 MPP327726:MPP327727 MZL327726:MZL327727 NJH327726:NJH327727 NTD327726:NTD327727 OCZ327726:OCZ327727 OMV327726:OMV327727 OWR327726:OWR327727 PGN327726:PGN327727 PQJ327726:PQJ327727 QAF327726:QAF327727 QKB327726:QKB327727 QTX327726:QTX327727 RDT327726:RDT327727 RNP327726:RNP327727 RXL327726:RXL327727 SHH327726:SHH327727 SRD327726:SRD327727 TAZ327726:TAZ327727 TKV327726:TKV327727 TUR327726:TUR327727 UEN327726:UEN327727 UOJ327726:UOJ327727 UYF327726:UYF327727 VIB327726:VIB327727 VRX327726:VRX327727 WBT327726:WBT327727 WLP327726:WLP327727 WVL327726:WVL327727 D393262:D393263 IZ393262:IZ393263 SV393262:SV393263 ACR393262:ACR393263 AMN393262:AMN393263 AWJ393262:AWJ393263 BGF393262:BGF393263 BQB393262:BQB393263 BZX393262:BZX393263 CJT393262:CJT393263 CTP393262:CTP393263 DDL393262:DDL393263 DNH393262:DNH393263 DXD393262:DXD393263 EGZ393262:EGZ393263 EQV393262:EQV393263 FAR393262:FAR393263 FKN393262:FKN393263 FUJ393262:FUJ393263 GEF393262:GEF393263 GOB393262:GOB393263 GXX393262:GXX393263 HHT393262:HHT393263 HRP393262:HRP393263 IBL393262:IBL393263 ILH393262:ILH393263 IVD393262:IVD393263 JEZ393262:JEZ393263 JOV393262:JOV393263 JYR393262:JYR393263 KIN393262:KIN393263 KSJ393262:KSJ393263 LCF393262:LCF393263 LMB393262:LMB393263 LVX393262:LVX393263 MFT393262:MFT393263 MPP393262:MPP393263 MZL393262:MZL393263 NJH393262:NJH393263 NTD393262:NTD393263 OCZ393262:OCZ393263 OMV393262:OMV393263 OWR393262:OWR393263 PGN393262:PGN393263 PQJ393262:PQJ393263 QAF393262:QAF393263 QKB393262:QKB393263 QTX393262:QTX393263 RDT393262:RDT393263 RNP393262:RNP393263 RXL393262:RXL393263 SHH393262:SHH393263 SRD393262:SRD393263 TAZ393262:TAZ393263 TKV393262:TKV393263 TUR393262:TUR393263 UEN393262:UEN393263 UOJ393262:UOJ393263 UYF393262:UYF393263 VIB393262:VIB393263 VRX393262:VRX393263 WBT393262:WBT393263 WLP393262:WLP393263 WVL393262:WVL393263 D458798:D458799 IZ458798:IZ458799 SV458798:SV458799 ACR458798:ACR458799 AMN458798:AMN458799 AWJ458798:AWJ458799 BGF458798:BGF458799 BQB458798:BQB458799 BZX458798:BZX458799 CJT458798:CJT458799 CTP458798:CTP458799 DDL458798:DDL458799 DNH458798:DNH458799 DXD458798:DXD458799 EGZ458798:EGZ458799 EQV458798:EQV458799 FAR458798:FAR458799 FKN458798:FKN458799 FUJ458798:FUJ458799 GEF458798:GEF458799 GOB458798:GOB458799 GXX458798:GXX458799 HHT458798:HHT458799 HRP458798:HRP458799 IBL458798:IBL458799 ILH458798:ILH458799 IVD458798:IVD458799 JEZ458798:JEZ458799 JOV458798:JOV458799 JYR458798:JYR458799 KIN458798:KIN458799 KSJ458798:KSJ458799 LCF458798:LCF458799 LMB458798:LMB458799 LVX458798:LVX458799 MFT458798:MFT458799 MPP458798:MPP458799 MZL458798:MZL458799 NJH458798:NJH458799 NTD458798:NTD458799 OCZ458798:OCZ458799 OMV458798:OMV458799 OWR458798:OWR458799 PGN458798:PGN458799 PQJ458798:PQJ458799 QAF458798:QAF458799 QKB458798:QKB458799 QTX458798:QTX458799 RDT458798:RDT458799 RNP458798:RNP458799 RXL458798:RXL458799 SHH458798:SHH458799 SRD458798:SRD458799 TAZ458798:TAZ458799 TKV458798:TKV458799 TUR458798:TUR458799 UEN458798:UEN458799 UOJ458798:UOJ458799 UYF458798:UYF458799 VIB458798:VIB458799 VRX458798:VRX458799 WBT458798:WBT458799 WLP458798:WLP458799 WVL458798:WVL458799 D524334:D524335 IZ524334:IZ524335 SV524334:SV524335 ACR524334:ACR524335 AMN524334:AMN524335 AWJ524334:AWJ524335 BGF524334:BGF524335 BQB524334:BQB524335 BZX524334:BZX524335 CJT524334:CJT524335 CTP524334:CTP524335 DDL524334:DDL524335 DNH524334:DNH524335 DXD524334:DXD524335 EGZ524334:EGZ524335 EQV524334:EQV524335 FAR524334:FAR524335 FKN524334:FKN524335 FUJ524334:FUJ524335 GEF524334:GEF524335 GOB524334:GOB524335 GXX524334:GXX524335 HHT524334:HHT524335 HRP524334:HRP524335 IBL524334:IBL524335 ILH524334:ILH524335 IVD524334:IVD524335 JEZ524334:JEZ524335 JOV524334:JOV524335 JYR524334:JYR524335 KIN524334:KIN524335 KSJ524334:KSJ524335 LCF524334:LCF524335 LMB524334:LMB524335 LVX524334:LVX524335 MFT524334:MFT524335 MPP524334:MPP524335 MZL524334:MZL524335 NJH524334:NJH524335 NTD524334:NTD524335 OCZ524334:OCZ524335 OMV524334:OMV524335 OWR524334:OWR524335 PGN524334:PGN524335 PQJ524334:PQJ524335 QAF524334:QAF524335 QKB524334:QKB524335 QTX524334:QTX524335 RDT524334:RDT524335 RNP524334:RNP524335 RXL524334:RXL524335 SHH524334:SHH524335 SRD524334:SRD524335 TAZ524334:TAZ524335 TKV524334:TKV524335 TUR524334:TUR524335 UEN524334:UEN524335 UOJ524334:UOJ524335 UYF524334:UYF524335 VIB524334:VIB524335 VRX524334:VRX524335 WBT524334:WBT524335 WLP524334:WLP524335 WVL524334:WVL524335 D589870:D589871 IZ589870:IZ589871 SV589870:SV589871 ACR589870:ACR589871 AMN589870:AMN589871 AWJ589870:AWJ589871 BGF589870:BGF589871 BQB589870:BQB589871 BZX589870:BZX589871 CJT589870:CJT589871 CTP589870:CTP589871 DDL589870:DDL589871 DNH589870:DNH589871 DXD589870:DXD589871 EGZ589870:EGZ589871 EQV589870:EQV589871 FAR589870:FAR589871 FKN589870:FKN589871 FUJ589870:FUJ589871 GEF589870:GEF589871 GOB589870:GOB589871 GXX589870:GXX589871 HHT589870:HHT589871 HRP589870:HRP589871 IBL589870:IBL589871 ILH589870:ILH589871 IVD589870:IVD589871 JEZ589870:JEZ589871 JOV589870:JOV589871 JYR589870:JYR589871 KIN589870:KIN589871 KSJ589870:KSJ589871 LCF589870:LCF589871 LMB589870:LMB589871 LVX589870:LVX589871 MFT589870:MFT589871 MPP589870:MPP589871 MZL589870:MZL589871 NJH589870:NJH589871 NTD589870:NTD589871 OCZ589870:OCZ589871 OMV589870:OMV589871 OWR589870:OWR589871 PGN589870:PGN589871 PQJ589870:PQJ589871 QAF589870:QAF589871 QKB589870:QKB589871 QTX589870:QTX589871 RDT589870:RDT589871 RNP589870:RNP589871 RXL589870:RXL589871 SHH589870:SHH589871 SRD589870:SRD589871 TAZ589870:TAZ589871 TKV589870:TKV589871 TUR589870:TUR589871 UEN589870:UEN589871 UOJ589870:UOJ589871 UYF589870:UYF589871 VIB589870:VIB589871 VRX589870:VRX589871 WBT589870:WBT589871 WLP589870:WLP589871 WVL589870:WVL589871 D655406:D655407 IZ655406:IZ655407 SV655406:SV655407 ACR655406:ACR655407 AMN655406:AMN655407 AWJ655406:AWJ655407 BGF655406:BGF655407 BQB655406:BQB655407 BZX655406:BZX655407 CJT655406:CJT655407 CTP655406:CTP655407 DDL655406:DDL655407 DNH655406:DNH655407 DXD655406:DXD655407 EGZ655406:EGZ655407 EQV655406:EQV655407 FAR655406:FAR655407 FKN655406:FKN655407 FUJ655406:FUJ655407 GEF655406:GEF655407 GOB655406:GOB655407 GXX655406:GXX655407 HHT655406:HHT655407 HRP655406:HRP655407 IBL655406:IBL655407 ILH655406:ILH655407 IVD655406:IVD655407 JEZ655406:JEZ655407 JOV655406:JOV655407 JYR655406:JYR655407 KIN655406:KIN655407 KSJ655406:KSJ655407 LCF655406:LCF655407 LMB655406:LMB655407 LVX655406:LVX655407 MFT655406:MFT655407 MPP655406:MPP655407 MZL655406:MZL655407 NJH655406:NJH655407 NTD655406:NTD655407 OCZ655406:OCZ655407 OMV655406:OMV655407 OWR655406:OWR655407 PGN655406:PGN655407 PQJ655406:PQJ655407 QAF655406:QAF655407 QKB655406:QKB655407 QTX655406:QTX655407 RDT655406:RDT655407 RNP655406:RNP655407 RXL655406:RXL655407 SHH655406:SHH655407 SRD655406:SRD655407 TAZ655406:TAZ655407 TKV655406:TKV655407 TUR655406:TUR655407 UEN655406:UEN655407 UOJ655406:UOJ655407 UYF655406:UYF655407 VIB655406:VIB655407 VRX655406:VRX655407 WBT655406:WBT655407 WLP655406:WLP655407 WVL655406:WVL655407 D720942:D720943 IZ720942:IZ720943 SV720942:SV720943 ACR720942:ACR720943 AMN720942:AMN720943 AWJ720942:AWJ720943 BGF720942:BGF720943 BQB720942:BQB720943 BZX720942:BZX720943 CJT720942:CJT720943 CTP720942:CTP720943 DDL720942:DDL720943 DNH720942:DNH720943 DXD720942:DXD720943 EGZ720942:EGZ720943 EQV720942:EQV720943 FAR720942:FAR720943 FKN720942:FKN720943 FUJ720942:FUJ720943 GEF720942:GEF720943 GOB720942:GOB720943 GXX720942:GXX720943 HHT720942:HHT720943 HRP720942:HRP720943 IBL720942:IBL720943 ILH720942:ILH720943 IVD720942:IVD720943 JEZ720942:JEZ720943 JOV720942:JOV720943 JYR720942:JYR720943 KIN720942:KIN720943 KSJ720942:KSJ720943 LCF720942:LCF720943 LMB720942:LMB720943 LVX720942:LVX720943 MFT720942:MFT720943 MPP720942:MPP720943 MZL720942:MZL720943 NJH720942:NJH720943 NTD720942:NTD720943 OCZ720942:OCZ720943 OMV720942:OMV720943 OWR720942:OWR720943 PGN720942:PGN720943 PQJ720942:PQJ720943 QAF720942:QAF720943 QKB720942:QKB720943 QTX720942:QTX720943 RDT720942:RDT720943 RNP720942:RNP720943 RXL720942:RXL720943 SHH720942:SHH720943 SRD720942:SRD720943 TAZ720942:TAZ720943 TKV720942:TKV720943 TUR720942:TUR720943 UEN720942:UEN720943 UOJ720942:UOJ720943 UYF720942:UYF720943 VIB720942:VIB720943 VRX720942:VRX720943 WBT720942:WBT720943 WLP720942:WLP720943 WVL720942:WVL720943 D786478:D786479 IZ786478:IZ786479 SV786478:SV786479 ACR786478:ACR786479 AMN786478:AMN786479 AWJ786478:AWJ786479 BGF786478:BGF786479 BQB786478:BQB786479 BZX786478:BZX786479 CJT786478:CJT786479 CTP786478:CTP786479 DDL786478:DDL786479 DNH786478:DNH786479 DXD786478:DXD786479 EGZ786478:EGZ786479 EQV786478:EQV786479 FAR786478:FAR786479 FKN786478:FKN786479 FUJ786478:FUJ786479 GEF786478:GEF786479 GOB786478:GOB786479 GXX786478:GXX786479 HHT786478:HHT786479 HRP786478:HRP786479 IBL786478:IBL786479 ILH786478:ILH786479 IVD786478:IVD786479 JEZ786478:JEZ786479 JOV786478:JOV786479 JYR786478:JYR786479 KIN786478:KIN786479 KSJ786478:KSJ786479 LCF786478:LCF786479 LMB786478:LMB786479 LVX786478:LVX786479 MFT786478:MFT786479 MPP786478:MPP786479 MZL786478:MZL786479 NJH786478:NJH786479 NTD786478:NTD786479 OCZ786478:OCZ786479 OMV786478:OMV786479 OWR786478:OWR786479 PGN786478:PGN786479 PQJ786478:PQJ786479 QAF786478:QAF786479 QKB786478:QKB786479 QTX786478:QTX786479 RDT786478:RDT786479 RNP786478:RNP786479 RXL786478:RXL786479 SHH786478:SHH786479 SRD786478:SRD786479 TAZ786478:TAZ786479 TKV786478:TKV786479 TUR786478:TUR786479 UEN786478:UEN786479 UOJ786478:UOJ786479 UYF786478:UYF786479 VIB786478:VIB786479 VRX786478:VRX786479 WBT786478:WBT786479 WLP786478:WLP786479 WVL786478:WVL786479 D852014:D852015 IZ852014:IZ852015 SV852014:SV852015 ACR852014:ACR852015 AMN852014:AMN852015 AWJ852014:AWJ852015 BGF852014:BGF852015 BQB852014:BQB852015 BZX852014:BZX852015 CJT852014:CJT852015 CTP852014:CTP852015 DDL852014:DDL852015 DNH852014:DNH852015 DXD852014:DXD852015 EGZ852014:EGZ852015 EQV852014:EQV852015 FAR852014:FAR852015 FKN852014:FKN852015 FUJ852014:FUJ852015 GEF852014:GEF852015 GOB852014:GOB852015 GXX852014:GXX852015 HHT852014:HHT852015 HRP852014:HRP852015 IBL852014:IBL852015 ILH852014:ILH852015 IVD852014:IVD852015 JEZ852014:JEZ852015 JOV852014:JOV852015 JYR852014:JYR852015 KIN852014:KIN852015 KSJ852014:KSJ852015 LCF852014:LCF852015 LMB852014:LMB852015 LVX852014:LVX852015 MFT852014:MFT852015 MPP852014:MPP852015 MZL852014:MZL852015 NJH852014:NJH852015 NTD852014:NTD852015 OCZ852014:OCZ852015 OMV852014:OMV852015 OWR852014:OWR852015 PGN852014:PGN852015 PQJ852014:PQJ852015 QAF852014:QAF852015 QKB852014:QKB852015 QTX852014:QTX852015 RDT852014:RDT852015 RNP852014:RNP852015 RXL852014:RXL852015 SHH852014:SHH852015 SRD852014:SRD852015 TAZ852014:TAZ852015 TKV852014:TKV852015 TUR852014:TUR852015 UEN852014:UEN852015 UOJ852014:UOJ852015 UYF852014:UYF852015 VIB852014:VIB852015 VRX852014:VRX852015 WBT852014:WBT852015 WLP852014:WLP852015 WVL852014:WVL852015 D917550:D917551 IZ917550:IZ917551 SV917550:SV917551 ACR917550:ACR917551 AMN917550:AMN917551 AWJ917550:AWJ917551 BGF917550:BGF917551 BQB917550:BQB917551 BZX917550:BZX917551 CJT917550:CJT917551 CTP917550:CTP917551 DDL917550:DDL917551 DNH917550:DNH917551 DXD917550:DXD917551 EGZ917550:EGZ917551 EQV917550:EQV917551 FAR917550:FAR917551 FKN917550:FKN917551 FUJ917550:FUJ917551 GEF917550:GEF917551 GOB917550:GOB917551 GXX917550:GXX917551 HHT917550:HHT917551 HRP917550:HRP917551 IBL917550:IBL917551 ILH917550:ILH917551 IVD917550:IVD917551 JEZ917550:JEZ917551 JOV917550:JOV917551 JYR917550:JYR917551 KIN917550:KIN917551 KSJ917550:KSJ917551 LCF917550:LCF917551 LMB917550:LMB917551 LVX917550:LVX917551 MFT917550:MFT917551 MPP917550:MPP917551 MZL917550:MZL917551 NJH917550:NJH917551 NTD917550:NTD917551 OCZ917550:OCZ917551 OMV917550:OMV917551 OWR917550:OWR917551 PGN917550:PGN917551 PQJ917550:PQJ917551 QAF917550:QAF917551 QKB917550:QKB917551 QTX917550:QTX917551 RDT917550:RDT917551 RNP917550:RNP917551 RXL917550:RXL917551 SHH917550:SHH917551 SRD917550:SRD917551 TAZ917550:TAZ917551 TKV917550:TKV917551 TUR917550:TUR917551 UEN917550:UEN917551 UOJ917550:UOJ917551 UYF917550:UYF917551 VIB917550:VIB917551 VRX917550:VRX917551 WBT917550:WBT917551 WLP917550:WLP917551 WVL917550:WVL917551 D983086:D983087 IZ983086:IZ983087 SV983086:SV983087 ACR983086:ACR983087 AMN983086:AMN983087 AWJ983086:AWJ983087 BGF983086:BGF983087 BQB983086:BQB983087 BZX983086:BZX983087 CJT983086:CJT983087 CTP983086:CTP983087 DDL983086:DDL983087 DNH983086:DNH983087 DXD983086:DXD983087 EGZ983086:EGZ983087 EQV983086:EQV983087 FAR983086:FAR983087 FKN983086:FKN983087 FUJ983086:FUJ983087 GEF983086:GEF983087 GOB983086:GOB983087 GXX983086:GXX983087 HHT983086:HHT983087 HRP983086:HRP983087 IBL983086:IBL983087 ILH983086:ILH983087 IVD983086:IVD983087 JEZ983086:JEZ983087 JOV983086:JOV983087 JYR983086:JYR983087 KIN983086:KIN983087 KSJ983086:KSJ983087 LCF983086:LCF983087 LMB983086:LMB983087 LVX983086:LVX983087 MFT983086:MFT983087 MPP983086:MPP983087 MZL983086:MZL983087 NJH983086:NJH983087 NTD983086:NTD983087 OCZ983086:OCZ983087 OMV983086:OMV983087 OWR983086:OWR983087 PGN983086:PGN983087 PQJ983086:PQJ983087 QAF983086:QAF983087 QKB983086:QKB983087 QTX983086:QTX983087 RDT983086:RDT983087 RNP983086:RNP983087 RXL983086:RXL983087 SHH983086:SHH983087 SRD983086:SRD983087 TAZ983086:TAZ983087 TKV983086:TKV983087 TUR983086:TUR983087 UEN983086:UEN983087 UOJ983086:UOJ983087 UYF983086:UYF983087 VIB983086:VIB983087 VRX983086:VRX983087 WBT983086:WBT983087 WLP983086:WLP983087 WVL983086:WVL983087 D58:D60 IZ58:IZ60 SV58:SV60 ACR58:ACR60 AMN58:AMN60 AWJ58:AWJ60 BGF58:BGF60 BQB58:BQB60 BZX58:BZX60 CJT58:CJT60 CTP58:CTP60 DDL58:DDL60 DNH58:DNH60 DXD58:DXD60 EGZ58:EGZ60 EQV58:EQV60 FAR58:FAR60 FKN58:FKN60 FUJ58:FUJ60 GEF58:GEF60 GOB58:GOB60 GXX58:GXX60 HHT58:HHT60 HRP58:HRP60 IBL58:IBL60 ILH58:ILH60 IVD58:IVD60 JEZ58:JEZ60 JOV58:JOV60 JYR58:JYR60 KIN58:KIN60 KSJ58:KSJ60 LCF58:LCF60 LMB58:LMB60 LVX58:LVX60 MFT58:MFT60 MPP58:MPP60 MZL58:MZL60 NJH58:NJH60 NTD58:NTD60 OCZ58:OCZ60 OMV58:OMV60 OWR58:OWR60 PGN58:PGN60 PQJ58:PQJ60 QAF58:QAF60 QKB58:QKB60 QTX58:QTX60 RDT58:RDT60 RNP58:RNP60 RXL58:RXL60 SHH58:SHH60 SRD58:SRD60 TAZ58:TAZ60 TKV58:TKV60 TUR58:TUR60 UEN58:UEN60 UOJ58:UOJ60 UYF58:UYF60 VIB58:VIB60 VRX58:VRX60 WBT58:WBT60 WLP58:WLP60 WVL58:WVL60 D65594:D65596 IZ65594:IZ65596 SV65594:SV65596 ACR65594:ACR65596 AMN65594:AMN65596 AWJ65594:AWJ65596 BGF65594:BGF65596 BQB65594:BQB65596 BZX65594:BZX65596 CJT65594:CJT65596 CTP65594:CTP65596 DDL65594:DDL65596 DNH65594:DNH65596 DXD65594:DXD65596 EGZ65594:EGZ65596 EQV65594:EQV65596 FAR65594:FAR65596 FKN65594:FKN65596 FUJ65594:FUJ65596 GEF65594:GEF65596 GOB65594:GOB65596 GXX65594:GXX65596 HHT65594:HHT65596 HRP65594:HRP65596 IBL65594:IBL65596 ILH65594:ILH65596 IVD65594:IVD65596 JEZ65594:JEZ65596 JOV65594:JOV65596 JYR65594:JYR65596 KIN65594:KIN65596 KSJ65594:KSJ65596 LCF65594:LCF65596 LMB65594:LMB65596 LVX65594:LVX65596 MFT65594:MFT65596 MPP65594:MPP65596 MZL65594:MZL65596 NJH65594:NJH65596 NTD65594:NTD65596 OCZ65594:OCZ65596 OMV65594:OMV65596 OWR65594:OWR65596 PGN65594:PGN65596 PQJ65594:PQJ65596 QAF65594:QAF65596 QKB65594:QKB65596 QTX65594:QTX65596 RDT65594:RDT65596 RNP65594:RNP65596 RXL65594:RXL65596 SHH65594:SHH65596 SRD65594:SRD65596 TAZ65594:TAZ65596 TKV65594:TKV65596 TUR65594:TUR65596 UEN65594:UEN65596 UOJ65594:UOJ65596 UYF65594:UYF65596 VIB65594:VIB65596 VRX65594:VRX65596 WBT65594:WBT65596 WLP65594:WLP65596 WVL65594:WVL65596 D131130:D131132 IZ131130:IZ131132 SV131130:SV131132 ACR131130:ACR131132 AMN131130:AMN131132 AWJ131130:AWJ131132 BGF131130:BGF131132 BQB131130:BQB131132 BZX131130:BZX131132 CJT131130:CJT131132 CTP131130:CTP131132 DDL131130:DDL131132 DNH131130:DNH131132 DXD131130:DXD131132 EGZ131130:EGZ131132 EQV131130:EQV131132 FAR131130:FAR131132 FKN131130:FKN131132 FUJ131130:FUJ131132 GEF131130:GEF131132 GOB131130:GOB131132 GXX131130:GXX131132 HHT131130:HHT131132 HRP131130:HRP131132 IBL131130:IBL131132 ILH131130:ILH131132 IVD131130:IVD131132 JEZ131130:JEZ131132 JOV131130:JOV131132 JYR131130:JYR131132 KIN131130:KIN131132 KSJ131130:KSJ131132 LCF131130:LCF131132 LMB131130:LMB131132 LVX131130:LVX131132 MFT131130:MFT131132 MPP131130:MPP131132 MZL131130:MZL131132 NJH131130:NJH131132 NTD131130:NTD131132 OCZ131130:OCZ131132 OMV131130:OMV131132 OWR131130:OWR131132 PGN131130:PGN131132 PQJ131130:PQJ131132 QAF131130:QAF131132 QKB131130:QKB131132 QTX131130:QTX131132 RDT131130:RDT131132 RNP131130:RNP131132 RXL131130:RXL131132 SHH131130:SHH131132 SRD131130:SRD131132 TAZ131130:TAZ131132 TKV131130:TKV131132 TUR131130:TUR131132 UEN131130:UEN131132 UOJ131130:UOJ131132 UYF131130:UYF131132 VIB131130:VIB131132 VRX131130:VRX131132 WBT131130:WBT131132 WLP131130:WLP131132 WVL131130:WVL131132 D196666:D196668 IZ196666:IZ196668 SV196666:SV196668 ACR196666:ACR196668 AMN196666:AMN196668 AWJ196666:AWJ196668 BGF196666:BGF196668 BQB196666:BQB196668 BZX196666:BZX196668 CJT196666:CJT196668 CTP196666:CTP196668 DDL196666:DDL196668 DNH196666:DNH196668 DXD196666:DXD196668 EGZ196666:EGZ196668 EQV196666:EQV196668 FAR196666:FAR196668 FKN196666:FKN196668 FUJ196666:FUJ196668 GEF196666:GEF196668 GOB196666:GOB196668 GXX196666:GXX196668 HHT196666:HHT196668 HRP196666:HRP196668 IBL196666:IBL196668 ILH196666:ILH196668 IVD196666:IVD196668 JEZ196666:JEZ196668 JOV196666:JOV196668 JYR196666:JYR196668 KIN196666:KIN196668 KSJ196666:KSJ196668 LCF196666:LCF196668 LMB196666:LMB196668 LVX196666:LVX196668 MFT196666:MFT196668 MPP196666:MPP196668 MZL196666:MZL196668 NJH196666:NJH196668 NTD196666:NTD196668 OCZ196666:OCZ196668 OMV196666:OMV196668 OWR196666:OWR196668 PGN196666:PGN196668 PQJ196666:PQJ196668 QAF196666:QAF196668 QKB196666:QKB196668 QTX196666:QTX196668 RDT196666:RDT196668 RNP196666:RNP196668 RXL196666:RXL196668 SHH196666:SHH196668 SRD196666:SRD196668 TAZ196666:TAZ196668 TKV196666:TKV196668 TUR196666:TUR196668 UEN196666:UEN196668 UOJ196666:UOJ196668 UYF196666:UYF196668 VIB196666:VIB196668 VRX196666:VRX196668 WBT196666:WBT196668 WLP196666:WLP196668 WVL196666:WVL196668 D262202:D262204 IZ262202:IZ262204 SV262202:SV262204 ACR262202:ACR262204 AMN262202:AMN262204 AWJ262202:AWJ262204 BGF262202:BGF262204 BQB262202:BQB262204 BZX262202:BZX262204 CJT262202:CJT262204 CTP262202:CTP262204 DDL262202:DDL262204 DNH262202:DNH262204 DXD262202:DXD262204 EGZ262202:EGZ262204 EQV262202:EQV262204 FAR262202:FAR262204 FKN262202:FKN262204 FUJ262202:FUJ262204 GEF262202:GEF262204 GOB262202:GOB262204 GXX262202:GXX262204 HHT262202:HHT262204 HRP262202:HRP262204 IBL262202:IBL262204 ILH262202:ILH262204 IVD262202:IVD262204 JEZ262202:JEZ262204 JOV262202:JOV262204 JYR262202:JYR262204 KIN262202:KIN262204 KSJ262202:KSJ262204 LCF262202:LCF262204 LMB262202:LMB262204 LVX262202:LVX262204 MFT262202:MFT262204 MPP262202:MPP262204 MZL262202:MZL262204 NJH262202:NJH262204 NTD262202:NTD262204 OCZ262202:OCZ262204 OMV262202:OMV262204 OWR262202:OWR262204 PGN262202:PGN262204 PQJ262202:PQJ262204 QAF262202:QAF262204 QKB262202:QKB262204 QTX262202:QTX262204 RDT262202:RDT262204 RNP262202:RNP262204 RXL262202:RXL262204 SHH262202:SHH262204 SRD262202:SRD262204 TAZ262202:TAZ262204 TKV262202:TKV262204 TUR262202:TUR262204 UEN262202:UEN262204 UOJ262202:UOJ262204 UYF262202:UYF262204 VIB262202:VIB262204 VRX262202:VRX262204 WBT262202:WBT262204 WLP262202:WLP262204 WVL262202:WVL262204 D327738:D327740 IZ327738:IZ327740 SV327738:SV327740 ACR327738:ACR327740 AMN327738:AMN327740 AWJ327738:AWJ327740 BGF327738:BGF327740 BQB327738:BQB327740 BZX327738:BZX327740 CJT327738:CJT327740 CTP327738:CTP327740 DDL327738:DDL327740 DNH327738:DNH327740 DXD327738:DXD327740 EGZ327738:EGZ327740 EQV327738:EQV327740 FAR327738:FAR327740 FKN327738:FKN327740 FUJ327738:FUJ327740 GEF327738:GEF327740 GOB327738:GOB327740 GXX327738:GXX327740 HHT327738:HHT327740 HRP327738:HRP327740 IBL327738:IBL327740 ILH327738:ILH327740 IVD327738:IVD327740 JEZ327738:JEZ327740 JOV327738:JOV327740 JYR327738:JYR327740 KIN327738:KIN327740 KSJ327738:KSJ327740 LCF327738:LCF327740 LMB327738:LMB327740 LVX327738:LVX327740 MFT327738:MFT327740 MPP327738:MPP327740 MZL327738:MZL327740 NJH327738:NJH327740 NTD327738:NTD327740 OCZ327738:OCZ327740 OMV327738:OMV327740 OWR327738:OWR327740 PGN327738:PGN327740 PQJ327738:PQJ327740 QAF327738:QAF327740 QKB327738:QKB327740 QTX327738:QTX327740 RDT327738:RDT327740 RNP327738:RNP327740 RXL327738:RXL327740 SHH327738:SHH327740 SRD327738:SRD327740 TAZ327738:TAZ327740 TKV327738:TKV327740 TUR327738:TUR327740 UEN327738:UEN327740 UOJ327738:UOJ327740 UYF327738:UYF327740 VIB327738:VIB327740 VRX327738:VRX327740 WBT327738:WBT327740 WLP327738:WLP327740 WVL327738:WVL327740 D393274:D393276 IZ393274:IZ393276 SV393274:SV393276 ACR393274:ACR393276 AMN393274:AMN393276 AWJ393274:AWJ393276 BGF393274:BGF393276 BQB393274:BQB393276 BZX393274:BZX393276 CJT393274:CJT393276 CTP393274:CTP393276 DDL393274:DDL393276 DNH393274:DNH393276 DXD393274:DXD393276 EGZ393274:EGZ393276 EQV393274:EQV393276 FAR393274:FAR393276 FKN393274:FKN393276 FUJ393274:FUJ393276 GEF393274:GEF393276 GOB393274:GOB393276 GXX393274:GXX393276 HHT393274:HHT393276 HRP393274:HRP393276 IBL393274:IBL393276 ILH393274:ILH393276 IVD393274:IVD393276 JEZ393274:JEZ393276 JOV393274:JOV393276 JYR393274:JYR393276 KIN393274:KIN393276 KSJ393274:KSJ393276 LCF393274:LCF393276 LMB393274:LMB393276 LVX393274:LVX393276 MFT393274:MFT393276 MPP393274:MPP393276 MZL393274:MZL393276 NJH393274:NJH393276 NTD393274:NTD393276 OCZ393274:OCZ393276 OMV393274:OMV393276 OWR393274:OWR393276 PGN393274:PGN393276 PQJ393274:PQJ393276 QAF393274:QAF393276 QKB393274:QKB393276 QTX393274:QTX393276 RDT393274:RDT393276 RNP393274:RNP393276 RXL393274:RXL393276 SHH393274:SHH393276 SRD393274:SRD393276 TAZ393274:TAZ393276 TKV393274:TKV393276 TUR393274:TUR393276 UEN393274:UEN393276 UOJ393274:UOJ393276 UYF393274:UYF393276 VIB393274:VIB393276 VRX393274:VRX393276 WBT393274:WBT393276 WLP393274:WLP393276 WVL393274:WVL393276 D458810:D458812 IZ458810:IZ458812 SV458810:SV458812 ACR458810:ACR458812 AMN458810:AMN458812 AWJ458810:AWJ458812 BGF458810:BGF458812 BQB458810:BQB458812 BZX458810:BZX458812 CJT458810:CJT458812 CTP458810:CTP458812 DDL458810:DDL458812 DNH458810:DNH458812 DXD458810:DXD458812 EGZ458810:EGZ458812 EQV458810:EQV458812 FAR458810:FAR458812 FKN458810:FKN458812 FUJ458810:FUJ458812 GEF458810:GEF458812 GOB458810:GOB458812 GXX458810:GXX458812 HHT458810:HHT458812 HRP458810:HRP458812 IBL458810:IBL458812 ILH458810:ILH458812 IVD458810:IVD458812 JEZ458810:JEZ458812 JOV458810:JOV458812 JYR458810:JYR458812 KIN458810:KIN458812 KSJ458810:KSJ458812 LCF458810:LCF458812 LMB458810:LMB458812 LVX458810:LVX458812 MFT458810:MFT458812 MPP458810:MPP458812 MZL458810:MZL458812 NJH458810:NJH458812 NTD458810:NTD458812 OCZ458810:OCZ458812 OMV458810:OMV458812 OWR458810:OWR458812 PGN458810:PGN458812 PQJ458810:PQJ458812 QAF458810:QAF458812 QKB458810:QKB458812 QTX458810:QTX458812 RDT458810:RDT458812 RNP458810:RNP458812 RXL458810:RXL458812 SHH458810:SHH458812 SRD458810:SRD458812 TAZ458810:TAZ458812 TKV458810:TKV458812 TUR458810:TUR458812 UEN458810:UEN458812 UOJ458810:UOJ458812 UYF458810:UYF458812 VIB458810:VIB458812 VRX458810:VRX458812 WBT458810:WBT458812 WLP458810:WLP458812 WVL458810:WVL458812 D524346:D524348 IZ524346:IZ524348 SV524346:SV524348 ACR524346:ACR524348 AMN524346:AMN524348 AWJ524346:AWJ524348 BGF524346:BGF524348 BQB524346:BQB524348 BZX524346:BZX524348 CJT524346:CJT524348 CTP524346:CTP524348 DDL524346:DDL524348 DNH524346:DNH524348 DXD524346:DXD524348 EGZ524346:EGZ524348 EQV524346:EQV524348 FAR524346:FAR524348 FKN524346:FKN524348 FUJ524346:FUJ524348 GEF524346:GEF524348 GOB524346:GOB524348 GXX524346:GXX524348 HHT524346:HHT524348 HRP524346:HRP524348 IBL524346:IBL524348 ILH524346:ILH524348 IVD524346:IVD524348 JEZ524346:JEZ524348 JOV524346:JOV524348 JYR524346:JYR524348 KIN524346:KIN524348 KSJ524346:KSJ524348 LCF524346:LCF524348 LMB524346:LMB524348 LVX524346:LVX524348 MFT524346:MFT524348 MPP524346:MPP524348 MZL524346:MZL524348 NJH524346:NJH524348 NTD524346:NTD524348 OCZ524346:OCZ524348 OMV524346:OMV524348 OWR524346:OWR524348 PGN524346:PGN524348 PQJ524346:PQJ524348 QAF524346:QAF524348 QKB524346:QKB524348 QTX524346:QTX524348 RDT524346:RDT524348 RNP524346:RNP524348 RXL524346:RXL524348 SHH524346:SHH524348 SRD524346:SRD524348 TAZ524346:TAZ524348 TKV524346:TKV524348 TUR524346:TUR524348 UEN524346:UEN524348 UOJ524346:UOJ524348 UYF524346:UYF524348 VIB524346:VIB524348 VRX524346:VRX524348 WBT524346:WBT524348 WLP524346:WLP524348 WVL524346:WVL524348 D589882:D589884 IZ589882:IZ589884 SV589882:SV589884 ACR589882:ACR589884 AMN589882:AMN589884 AWJ589882:AWJ589884 BGF589882:BGF589884 BQB589882:BQB589884 BZX589882:BZX589884 CJT589882:CJT589884 CTP589882:CTP589884 DDL589882:DDL589884 DNH589882:DNH589884 DXD589882:DXD589884 EGZ589882:EGZ589884 EQV589882:EQV589884 FAR589882:FAR589884 FKN589882:FKN589884 FUJ589882:FUJ589884 GEF589882:GEF589884 GOB589882:GOB589884 GXX589882:GXX589884 HHT589882:HHT589884 HRP589882:HRP589884 IBL589882:IBL589884 ILH589882:ILH589884 IVD589882:IVD589884 JEZ589882:JEZ589884 JOV589882:JOV589884 JYR589882:JYR589884 KIN589882:KIN589884 KSJ589882:KSJ589884 LCF589882:LCF589884 LMB589882:LMB589884 LVX589882:LVX589884 MFT589882:MFT589884 MPP589882:MPP589884 MZL589882:MZL589884 NJH589882:NJH589884 NTD589882:NTD589884 OCZ589882:OCZ589884 OMV589882:OMV589884 OWR589882:OWR589884 PGN589882:PGN589884 PQJ589882:PQJ589884 QAF589882:QAF589884 QKB589882:QKB589884 QTX589882:QTX589884 RDT589882:RDT589884 RNP589882:RNP589884 RXL589882:RXL589884 SHH589882:SHH589884 SRD589882:SRD589884 TAZ589882:TAZ589884 TKV589882:TKV589884 TUR589882:TUR589884 UEN589882:UEN589884 UOJ589882:UOJ589884 UYF589882:UYF589884 VIB589882:VIB589884 VRX589882:VRX589884 WBT589882:WBT589884 WLP589882:WLP589884 WVL589882:WVL589884 D655418:D655420 IZ655418:IZ655420 SV655418:SV655420 ACR655418:ACR655420 AMN655418:AMN655420 AWJ655418:AWJ655420 BGF655418:BGF655420 BQB655418:BQB655420 BZX655418:BZX655420 CJT655418:CJT655420 CTP655418:CTP655420 DDL655418:DDL655420 DNH655418:DNH655420 DXD655418:DXD655420 EGZ655418:EGZ655420 EQV655418:EQV655420 FAR655418:FAR655420 FKN655418:FKN655420 FUJ655418:FUJ655420 GEF655418:GEF655420 GOB655418:GOB655420 GXX655418:GXX655420 HHT655418:HHT655420 HRP655418:HRP655420 IBL655418:IBL655420 ILH655418:ILH655420 IVD655418:IVD655420 JEZ655418:JEZ655420 JOV655418:JOV655420 JYR655418:JYR655420 KIN655418:KIN655420 KSJ655418:KSJ655420 LCF655418:LCF655420 LMB655418:LMB655420 LVX655418:LVX655420 MFT655418:MFT655420 MPP655418:MPP655420 MZL655418:MZL655420 NJH655418:NJH655420 NTD655418:NTD655420 OCZ655418:OCZ655420 OMV655418:OMV655420 OWR655418:OWR655420 PGN655418:PGN655420 PQJ655418:PQJ655420 QAF655418:QAF655420 QKB655418:QKB655420 QTX655418:QTX655420 RDT655418:RDT655420 RNP655418:RNP655420 RXL655418:RXL655420 SHH655418:SHH655420 SRD655418:SRD655420 TAZ655418:TAZ655420 TKV655418:TKV655420 TUR655418:TUR655420 UEN655418:UEN655420 UOJ655418:UOJ655420 UYF655418:UYF655420 VIB655418:VIB655420 VRX655418:VRX655420 WBT655418:WBT655420 WLP655418:WLP655420 WVL655418:WVL655420 D720954:D720956 IZ720954:IZ720956 SV720954:SV720956 ACR720954:ACR720956 AMN720954:AMN720956 AWJ720954:AWJ720956 BGF720954:BGF720956 BQB720954:BQB720956 BZX720954:BZX720956 CJT720954:CJT720956 CTP720954:CTP720956 DDL720954:DDL720956 DNH720954:DNH720956 DXD720954:DXD720956 EGZ720954:EGZ720956 EQV720954:EQV720956 FAR720954:FAR720956 FKN720954:FKN720956 FUJ720954:FUJ720956 GEF720954:GEF720956 GOB720954:GOB720956 GXX720954:GXX720956 HHT720954:HHT720956 HRP720954:HRP720956 IBL720954:IBL720956 ILH720954:ILH720956 IVD720954:IVD720956 JEZ720954:JEZ720956 JOV720954:JOV720956 JYR720954:JYR720956 KIN720954:KIN720956 KSJ720954:KSJ720956 LCF720954:LCF720956 LMB720954:LMB720956 LVX720954:LVX720956 MFT720954:MFT720956 MPP720954:MPP720956 MZL720954:MZL720956 NJH720954:NJH720956 NTD720954:NTD720956 OCZ720954:OCZ720956 OMV720954:OMV720956 OWR720954:OWR720956 PGN720954:PGN720956 PQJ720954:PQJ720956 QAF720954:QAF720956 QKB720954:QKB720956 QTX720954:QTX720956 RDT720954:RDT720956 RNP720954:RNP720956 RXL720954:RXL720956 SHH720954:SHH720956 SRD720954:SRD720956 TAZ720954:TAZ720956 TKV720954:TKV720956 TUR720954:TUR720956 UEN720954:UEN720956 UOJ720954:UOJ720956 UYF720954:UYF720956 VIB720954:VIB720956 VRX720954:VRX720956 WBT720954:WBT720956 WLP720954:WLP720956 WVL720954:WVL720956 D786490:D786492 IZ786490:IZ786492 SV786490:SV786492 ACR786490:ACR786492 AMN786490:AMN786492 AWJ786490:AWJ786492 BGF786490:BGF786492 BQB786490:BQB786492 BZX786490:BZX786492 CJT786490:CJT786492 CTP786490:CTP786492 DDL786490:DDL786492 DNH786490:DNH786492 DXD786490:DXD786492 EGZ786490:EGZ786492 EQV786490:EQV786492 FAR786490:FAR786492 FKN786490:FKN786492 FUJ786490:FUJ786492 GEF786490:GEF786492 GOB786490:GOB786492 GXX786490:GXX786492 HHT786490:HHT786492 HRP786490:HRP786492 IBL786490:IBL786492 ILH786490:ILH786492 IVD786490:IVD786492 JEZ786490:JEZ786492 JOV786490:JOV786492 JYR786490:JYR786492 KIN786490:KIN786492 KSJ786490:KSJ786492 LCF786490:LCF786492 LMB786490:LMB786492 LVX786490:LVX786492 MFT786490:MFT786492 MPP786490:MPP786492 MZL786490:MZL786492 NJH786490:NJH786492 NTD786490:NTD786492 OCZ786490:OCZ786492 OMV786490:OMV786492 OWR786490:OWR786492 PGN786490:PGN786492 PQJ786490:PQJ786492 QAF786490:QAF786492 QKB786490:QKB786492 QTX786490:QTX786492 RDT786490:RDT786492 RNP786490:RNP786492 RXL786490:RXL786492 SHH786490:SHH786492 SRD786490:SRD786492 TAZ786490:TAZ786492 TKV786490:TKV786492 TUR786490:TUR786492 UEN786490:UEN786492 UOJ786490:UOJ786492 UYF786490:UYF786492 VIB786490:VIB786492 VRX786490:VRX786492 WBT786490:WBT786492 WLP786490:WLP786492 WVL786490:WVL786492 D852026:D852028 IZ852026:IZ852028 SV852026:SV852028 ACR852026:ACR852028 AMN852026:AMN852028 AWJ852026:AWJ852028 BGF852026:BGF852028 BQB852026:BQB852028 BZX852026:BZX852028 CJT852026:CJT852028 CTP852026:CTP852028 DDL852026:DDL852028 DNH852026:DNH852028 DXD852026:DXD852028 EGZ852026:EGZ852028 EQV852026:EQV852028 FAR852026:FAR852028 FKN852026:FKN852028 FUJ852026:FUJ852028 GEF852026:GEF852028 GOB852026:GOB852028 GXX852026:GXX852028 HHT852026:HHT852028 HRP852026:HRP852028 IBL852026:IBL852028 ILH852026:ILH852028 IVD852026:IVD852028 JEZ852026:JEZ852028 JOV852026:JOV852028 JYR852026:JYR852028 KIN852026:KIN852028 KSJ852026:KSJ852028 LCF852026:LCF852028 LMB852026:LMB852028 LVX852026:LVX852028 MFT852026:MFT852028 MPP852026:MPP852028 MZL852026:MZL852028 NJH852026:NJH852028 NTD852026:NTD852028 OCZ852026:OCZ852028 OMV852026:OMV852028 OWR852026:OWR852028 PGN852026:PGN852028 PQJ852026:PQJ852028 QAF852026:QAF852028 QKB852026:QKB852028 QTX852026:QTX852028 RDT852026:RDT852028 RNP852026:RNP852028 RXL852026:RXL852028 SHH852026:SHH852028 SRD852026:SRD852028 TAZ852026:TAZ852028 TKV852026:TKV852028 TUR852026:TUR852028 UEN852026:UEN852028 UOJ852026:UOJ852028 UYF852026:UYF852028 VIB852026:VIB852028 VRX852026:VRX852028 WBT852026:WBT852028 WLP852026:WLP852028 WVL852026:WVL852028 D917562:D917564 IZ917562:IZ917564 SV917562:SV917564 ACR917562:ACR917564 AMN917562:AMN917564 AWJ917562:AWJ917564 BGF917562:BGF917564 BQB917562:BQB917564 BZX917562:BZX917564 CJT917562:CJT917564 CTP917562:CTP917564 DDL917562:DDL917564 DNH917562:DNH917564 DXD917562:DXD917564 EGZ917562:EGZ917564 EQV917562:EQV917564 FAR917562:FAR917564 FKN917562:FKN917564 FUJ917562:FUJ917564 GEF917562:GEF917564 GOB917562:GOB917564 GXX917562:GXX917564 HHT917562:HHT917564 HRP917562:HRP917564 IBL917562:IBL917564 ILH917562:ILH917564 IVD917562:IVD917564 JEZ917562:JEZ917564 JOV917562:JOV917564 JYR917562:JYR917564 KIN917562:KIN917564 KSJ917562:KSJ917564 LCF917562:LCF917564 LMB917562:LMB917564 LVX917562:LVX917564 MFT917562:MFT917564 MPP917562:MPP917564 MZL917562:MZL917564 NJH917562:NJH917564 NTD917562:NTD917564 OCZ917562:OCZ917564 OMV917562:OMV917564 OWR917562:OWR917564 PGN917562:PGN917564 PQJ917562:PQJ917564 QAF917562:QAF917564 QKB917562:QKB917564 QTX917562:QTX917564 RDT917562:RDT917564 RNP917562:RNP917564 RXL917562:RXL917564 SHH917562:SHH917564 SRD917562:SRD917564 TAZ917562:TAZ917564 TKV917562:TKV917564 TUR917562:TUR917564 UEN917562:UEN917564 UOJ917562:UOJ917564 UYF917562:UYF917564 VIB917562:VIB917564 VRX917562:VRX917564 WBT917562:WBT917564 WLP917562:WLP917564 WVL917562:WVL917564 D983098:D983100 IZ983098:IZ983100 SV983098:SV983100 ACR983098:ACR983100 AMN983098:AMN983100 AWJ983098:AWJ983100 BGF983098:BGF983100 BQB983098:BQB983100 BZX983098:BZX983100 CJT983098:CJT983100 CTP983098:CTP983100 DDL983098:DDL983100 DNH983098:DNH983100 DXD983098:DXD983100 EGZ983098:EGZ983100 EQV983098:EQV983100 FAR983098:FAR983100 FKN983098:FKN983100 FUJ983098:FUJ983100 GEF983098:GEF983100 GOB983098:GOB983100 GXX983098:GXX983100 HHT983098:HHT983100 HRP983098:HRP983100 IBL983098:IBL983100 ILH983098:ILH983100 IVD983098:IVD983100 JEZ983098:JEZ983100 JOV983098:JOV983100 JYR983098:JYR983100 KIN983098:KIN983100 KSJ983098:KSJ983100 LCF983098:LCF983100 LMB983098:LMB983100 LVX983098:LVX983100 MFT983098:MFT983100 MPP983098:MPP983100 MZL983098:MZL983100 NJH983098:NJH983100 NTD983098:NTD983100 OCZ983098:OCZ983100 OMV983098:OMV983100 OWR983098:OWR983100 PGN983098:PGN983100 PQJ983098:PQJ983100 QAF983098:QAF983100 QKB983098:QKB983100 QTX983098:QTX983100 RDT983098:RDT983100 RNP983098:RNP983100 RXL983098:RXL983100 SHH983098:SHH983100 SRD983098:SRD983100 TAZ983098:TAZ983100 TKV983098:TKV983100 TUR983098:TUR983100 UEN983098:UEN983100 UOJ983098:UOJ983100 UYF983098:UYF983100 D47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E4253-C7BF-4AF4-91C0-B8FBDE91355D}">
  <sheetPr codeName="Sheet8"/>
  <dimension ref="B1:D5"/>
  <sheetViews>
    <sheetView workbookViewId="0">
      <selection activeCell="B2" sqref="B2"/>
    </sheetView>
  </sheetViews>
  <sheetFormatPr defaultRowHeight="15" x14ac:dyDescent="0.25"/>
  <cols>
    <col min="2" max="2" width="27.28515625" customWidth="1"/>
    <col min="3" max="3" width="22.85546875" style="58" customWidth="1"/>
    <col min="4" max="4" width="53" bestFit="1" customWidth="1"/>
  </cols>
  <sheetData>
    <row r="1" spans="2:4" ht="15.75" thickBot="1" x14ac:dyDescent="0.3"/>
    <row r="2" spans="2:4" x14ac:dyDescent="0.25">
      <c r="B2" s="67" t="s">
        <v>39</v>
      </c>
      <c r="C2" s="68">
        <v>0</v>
      </c>
      <c r="D2" s="69" t="s">
        <v>40</v>
      </c>
    </row>
    <row r="3" spans="2:4" x14ac:dyDescent="0.25">
      <c r="B3" s="70" t="s">
        <v>41</v>
      </c>
      <c r="C3" s="71">
        <v>0</v>
      </c>
      <c r="D3" s="59" t="s">
        <v>42</v>
      </c>
    </row>
    <row r="4" spans="2:4" x14ac:dyDescent="0.25">
      <c r="B4" s="70" t="s">
        <v>43</v>
      </c>
      <c r="C4" s="71">
        <v>100</v>
      </c>
      <c r="D4" s="59" t="s">
        <v>44</v>
      </c>
    </row>
    <row r="5" spans="2:4" ht="15.75" thickBot="1" x14ac:dyDescent="0.3">
      <c r="B5" s="72" t="s">
        <v>45</v>
      </c>
      <c r="C5" s="61">
        <v>100</v>
      </c>
      <c r="D5" s="60" t="s">
        <v>46</v>
      </c>
    </row>
  </sheetData>
  <conditionalFormatting sqref="B2:C5">
    <cfRule type="cellIs" dxfId="63" priority="1" stopIfTrue="1" operator="equal">
      <formula>$B$2</formula>
    </cfRule>
    <cfRule type="cellIs" dxfId="62" priority="2" stopIfTrue="1" operator="equal">
      <formula>$B$4</formula>
    </cfRule>
    <cfRule type="cellIs" dxfId="61" priority="3" stopIfTrue="1" operator="equal">
      <formula>$B$3</formula>
    </cfRule>
    <cfRule type="cellIs" dxfId="60" priority="4" stopIfTrue="1" operator="equal">
      <formula>$B$5</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Final</vt:lpstr>
      <vt:lpstr>Technical</vt:lpstr>
      <vt:lpstr>User Acceptance</vt:lpstr>
      <vt:lpstr>Interactivity</vt:lpstr>
      <vt:lpstr>Feedback</vt:lpstr>
      <vt:lpstr>Appeal</vt:lpstr>
      <vt:lpstr>TCR</vt:lpstr>
      <vt:lpstr>TCR Guidelines</vt:lpstr>
      <vt:lpstr>TCR Values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Yannick Gerber</dc:creator>
  <cp:lastModifiedBy>Tan Wei Wen</cp:lastModifiedBy>
  <dcterms:created xsi:type="dcterms:W3CDTF">2016-11-30T02:45:37Z</dcterms:created>
  <dcterms:modified xsi:type="dcterms:W3CDTF">2021-04-09T15:37:00Z</dcterms:modified>
</cp:coreProperties>
</file>